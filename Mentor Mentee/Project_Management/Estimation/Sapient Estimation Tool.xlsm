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5.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hidePivotFieldList="1" autoCompressPictures="0"/>
  <bookViews>
    <workbookView xWindow="0" yWindow="60" windowWidth="20610" windowHeight="11640" tabRatio="856" activeTab="3"/>
  </bookViews>
  <sheets>
    <sheet name="Help" sheetId="3" r:id="rId1"/>
    <sheet name="Project Overview" sheetId="6" r:id="rId2"/>
    <sheet name="Story Types" sheetId="7" r:id="rId3"/>
    <sheet name="Stories" sheetId="13" r:id="rId4"/>
    <sheet name="Add-ins" sheetId="11" r:id="rId5"/>
    <sheet name="Objective Risks" sheetId="12" r:id="rId6"/>
    <sheet name="Staffing Plan" sheetId="17" r:id="rId7"/>
    <sheet name="LOE Summary" sheetId="15" r:id="rId8"/>
    <sheet name="Total LOE" sheetId="18" r:id="rId9"/>
    <sheet name="Stories - Export" sheetId="22" state="veryHidden" r:id="rId10"/>
    <sheet name="Staffing Plan - Export" sheetId="19" state="veryHidden" r:id="rId11"/>
    <sheet name="Data" sheetId="4" state="veryHidden" r:id="rId12"/>
    <sheet name="Export Configuration" sheetId="20" state="veryHidden" r:id="rId13"/>
    <sheet name="Mapping" sheetId="23" state="veryHidden" r:id="rId14"/>
  </sheets>
  <functionGroups builtInGroupCount="17"/>
  <definedNames>
    <definedName name="_xlnm._FilterDatabase" localSheetId="11" hidden="1">Data!$R$1:$S$1401</definedName>
    <definedName name="_xlnm._FilterDatabase" localSheetId="12" hidden="1">'Export Configuration'!$A$1:$D$38</definedName>
    <definedName name="_xlnm._FilterDatabase" localSheetId="3" hidden="1">Stories!$B$6:$V$6</definedName>
    <definedName name="add_ins_last_row">'Add-ins'!$18:$18</definedName>
    <definedName name="addins_impact_loe_lookup">'Add-ins'!$J$5:$J$19</definedName>
    <definedName name="addins_phase_list_lookup">'Add-ins'!$C$5:$C$19</definedName>
    <definedName name="addins_release_list_lookup">'Add-ins'!$E$5:$E$19</definedName>
    <definedName name="addins_total_loe">'Add-ins'!$J$2</definedName>
    <definedName name="addins_track_list_lookup">'Add-ins'!$D$5:$D$19</definedName>
    <definedName name="data_blank_value">Data!$B$6</definedName>
    <definedName name="data_role_doesnt_exist_msg">Data!$B$7</definedName>
    <definedName name="data_rolename_title_location">Data!$Q$1</definedName>
    <definedName name="export_list_interfaces_output_columns">OFFSET('Export Configuration'!$A$1,,,COUNTA('Export Configuration'!$A:$A),4)</definedName>
    <definedName name="export_list_interfaces_output_formats">OFFSET('Export Configuration'!$F$1,,,COUNTA('Export Configuration'!$F:$F),3)</definedName>
    <definedName name="list_bill_rate_categories">OFFSET(Data!$L$2,,,COUNTA(Data!$L:$L)-1)</definedName>
    <definedName name="list_bill_rate_india">OFFSET(list_bill_rate_categories,MATCH("India Off-Shore", list_bill_rate_categories,0)-1,,COUNTA(list_bill_rate_categories) - MATCH("India Off-Shore", list_bill_rate_categories,0)+1)</definedName>
    <definedName name="list_bill_rate_local">OFFSET(list_bill_rate_categories,,,MATCH("India Off-shore", list_bill_rate_categories,0)-1)</definedName>
    <definedName name="list_delivery_types">OFFSET(Data!$D$2,,,COUNTA(Data!$D:$D)-1)</definedName>
    <definedName name="list_offices">OFFSET(Data!$M$2,,,COUNTA(Data!$M:$M)-1)</definedName>
    <definedName name="list_offices_india">OFFSET(list_offices,1,,MATCH("## Local Offices ##", list_offices,0) - 2)</definedName>
    <definedName name="list_offices_local">OFFSET(list_offices,MATCH("## Local Offices ##", list_offices,0),,COUNTA(list_offices) - MATCH("## Local Offices ##", list_offices,0))</definedName>
    <definedName name="list_Phase">OFFSET(Data!$G$2,,,COUNTA(Data!$G:$G)-1)</definedName>
    <definedName name="list_project_tracks">OFFSET(Data!$F$2,,,COUNTA(Data!$F:$F)-1)</definedName>
    <definedName name="list_Release">OFFSET(Data!$H$2,,,COUNTA(Data!$H:$H)-1)</definedName>
    <definedName name="list_risk_categories">OFFSET(Data!$J$2,,,COUNTA(Data!$J:$J)-1)</definedName>
    <definedName name="list_roles">OFFSET(Data!$N$2,,,COUNTA(Data!$N:$N)-1)</definedName>
    <definedName name="list_sa_phases">OFFSET(Data!$E$2,,,COUNTA(Data!$E:$E)-1)</definedName>
    <definedName name="list_scope_count">OFFSET(Data!$K$2,,,COUNTA(Data!$K:$K)-1)</definedName>
    <definedName name="list_story_types">OFFSET(Data!$I$2,,,COUNTA(Data!$I:$I)-1)</definedName>
    <definedName name="list_title_for_mapping">Data!$P:$P</definedName>
    <definedName name="list_titles">OFFSET(Data!$O$2,,,COUNTA(Data!$O:$O)-1)</definedName>
    <definedName name="list_titles_delivery">OFFSET(list_titles,1,,MATCH("## Sapient Internal ##", list_titles,0) - 2)</definedName>
    <definedName name="list_titles_non_delivery">list_titles</definedName>
    <definedName name="loe_summ_last_row">'LOE Summary'!$17:$17</definedName>
    <definedName name="metrics_lookup_table">'Story Types'!$I$4:$M$25</definedName>
    <definedName name="obj_risks_last_row">'Objective Risks'!$17:$17</definedName>
    <definedName name="_xlnm.Print_Area" localSheetId="4">'Add-ins'!$B$2:$K$18</definedName>
    <definedName name="_xlnm.Print_Area" localSheetId="0">Help!$B$2:$E$10</definedName>
    <definedName name="_xlnm.Print_Area" localSheetId="7">'LOE Summary'!$B$1:$M$15</definedName>
    <definedName name="_xlnm.Print_Area" localSheetId="5">'Objective Risks'!$B$2:$K$17</definedName>
    <definedName name="_xlnm.Print_Area" localSheetId="1">'Project Overview'!$A$1:$D$11</definedName>
    <definedName name="_xlnm.Print_Area" localSheetId="6">'Staffing Plan'!$B$1:$AJ$45</definedName>
    <definedName name="_xlnm.Print_Area" localSheetId="3">Stories!$A$2:$V$40</definedName>
    <definedName name="_xlnm.Print_Area" localSheetId="2">'Story Types'!$A$1:$M$19</definedName>
    <definedName name="_xlnm.Print_Area" localSheetId="8">'Total LOE'!$B$1:$P$24</definedName>
    <definedName name="project_delivery_select">'Project Overview'!$C$7</definedName>
    <definedName name="project_headline">'Project Overview'!$C$1</definedName>
    <definedName name="project_name">'Project Overview'!$C$3</definedName>
    <definedName name="project_phase">'Project Overview'!$C$5</definedName>
    <definedName name="project_Phase_list_column">'Project Overview'!$C:$C</definedName>
    <definedName name="project_pid">'Project Overview'!$C$4</definedName>
    <definedName name="project_Rel_list_column">'Project Overview'!$D:$D</definedName>
    <definedName name="project_tracks_list_column">'Project Overview'!$B:$B</definedName>
    <definedName name="project_tracks_starting_row">'Project Overview'!$9:$9</definedName>
    <definedName name="risks_phase_list_lookup">'Objective Risks'!$C$7:$C$18</definedName>
    <definedName name="risks_release_list_lookup">'Objective Risks'!$E$7:$E$18</definedName>
    <definedName name="risks_risk_buffer_lookup">'Objective Risks'!$J$7:$J$18</definedName>
    <definedName name="risks_total_loe">'Objective Risks'!$J$4</definedName>
    <definedName name="risks_track_list_lookup">'Objective Risks'!$D$7:$D$18</definedName>
    <definedName name="staffing_column_after_weeks">'Staffing Plan'!$AD:$AD</definedName>
    <definedName name="staffing_column_before_weeks">'Staffing Plan'!$I:$I</definedName>
    <definedName name="staffing_column_HrsPerDay">'Staffing Plan'!$AH:$AH</definedName>
    <definedName name="staffing_column_plan_start">'Staffing Plan'!$B:$B</definedName>
    <definedName name="staffing_column_Rate">'Staffing Plan'!$AG:$AG</definedName>
    <definedName name="staffing_column_title">'Staffing Plan'!$E:$E</definedName>
    <definedName name="staffing_hidden_template_row">'Staffing Plan'!$9:$9</definedName>
    <definedName name="staffing_phase_list_lookup">INDIRECT("'Staffing Plan'!"&amp;ADDRESS(CELL("row",staffing_row_before_team)+1,CELL("col",staffing_column_before_weeks)-2)&amp;":"&amp;ADDRESS(CELL("row",staffing_row_after_team)-1,CELL("col",staffing_column_before_weeks)-2))</definedName>
    <definedName name="staffing_planned_net_work_days">'Staffing Plan'!$D$5</definedName>
    <definedName name="staffing_release_list_lookup">INDIRECT("'Staffing Plan'!"&amp;ADDRESS(CELL("row",staffing_row_before_team)+1,CELL("col",staffing_column_before_weeks))&amp;":"&amp;ADDRESS(CELL("row",staffing_row_after_team)-1,CELL("col",staffing_column_before_weeks)))</definedName>
    <definedName name="staffing_row_after_oversight">'Staffing Plan'!$22:$22</definedName>
    <definedName name="staffing_row_after_team">'Staffing Plan'!$44:$44</definedName>
    <definedName name="staffing_row_before_oversight">'Staffing Plan'!$10:$10</definedName>
    <definedName name="staffing_row_before_team">'Staffing Plan'!$23:$23</definedName>
    <definedName name="staffing_total_loe_lookup">INDIRECT("'Staffing Plan'!"&amp;ADDRESS(CELL("row",staffing_row_before_team)+1,CELL("col",staffing_column_after_weeks))&amp;":"&amp;ADDRESS(CELL("row",staffing_row_after_team)-1,CELL("col",staffing_column_after_weeks)))</definedName>
    <definedName name="staffing_total_loe_oversight">'Staffing Plan'!$AD$22</definedName>
    <definedName name="staffing_total_loe_team">'Staffing Plan'!$AD$44</definedName>
    <definedName name="staffing_total_person_days">'Staffing Plan'!$AD$45</definedName>
    <definedName name="staffing_track_list_lookup">INDIRECT("'Staffing Plan'!"&amp;ADDRESS(CELL("row",staffing_row_before_team)+1,CELL("col",staffing_column_before_weeks)-1)&amp;":"&amp;ADDRESS(CELL("row",staffing_row_after_team)-1,CELL("col",staffing_column_before_weeks)-1))</definedName>
    <definedName name="stories_buffered_loe_lookup">Stories!$U$7:$U$41</definedName>
    <definedName name="stories_column_abp">Stories!$M:$M</definedName>
    <definedName name="stories_column_category">Stories!$C:$C</definedName>
    <definedName name="stories_column_description">Stories!$H:$H</definedName>
    <definedName name="stories_column_error">Stories!$B:$B</definedName>
    <definedName name="stories_column_hp">Stories!$N:$N</definedName>
    <definedName name="stories_column_in_out">Stories!$J:$J</definedName>
    <definedName name="stories_column_multiplier">Stories!$O:$O</definedName>
    <definedName name="stories_column_notes">Stories!$V:$V</definedName>
    <definedName name="stories_column_phase">Stories!$E:$E</definedName>
    <definedName name="stories_column_release">Stories!$K:$K</definedName>
    <definedName name="stories_column_scope_reference">Stories!$I:$I</definedName>
    <definedName name="stories_column_story_name">Stories!$G:$G</definedName>
    <definedName name="stories_column_story_type">Stories!$L:$L</definedName>
    <definedName name="stories_column_sub_category">Stories!$D:$D</definedName>
    <definedName name="stories_column_track">Stories!$F:$F</definedName>
    <definedName name="stories_entries_range">INDIRECT(ROW(stories_row_before_first_story)+1 &amp; ":" &amp; ROW(stories_row_after_last_story)-1)</definedName>
    <definedName name="stories_last_row">Stories!$40:$40</definedName>
    <definedName name="Stories_phase_list_lookup">Stories!$E$7:$E$41</definedName>
    <definedName name="stories_pivot_range">OFFSET(Stories!$C$6,0,0,COUNTA(Stories!$O$7:$O$273)-1,COLUMN(Stories!$V$6)-2)</definedName>
    <definedName name="stories_release_list_lookup">Stories!$K$7:$K$41</definedName>
    <definedName name="stories_row_after_last_story">Stories!$41:$41</definedName>
    <definedName name="stories_row_before_first_story">Stories!$6:$6</definedName>
    <definedName name="stories_total_loe_abp">Stories!$P$4</definedName>
    <definedName name="stories_total_loe_buffered">Stories!$T$4</definedName>
    <definedName name="stories_total_loe_hp">Stories!$R$4</definedName>
    <definedName name="stories_track_list_lookup">Stories!$F$7:$F$41</definedName>
    <definedName name="story_export_comment_records">OFFSET('Stories - Export'!$K$1,,,COUNTA('Stories - Export'!$K:$K),1)</definedName>
    <definedName name="tasks_metrics_observation_area">'Story Types'!$C:$F</definedName>
    <definedName name="tasks_metrics_template">'Story Types'!$B$3:$G$6</definedName>
    <definedName name="tool_version">Help!$C$3</definedName>
    <definedName name="tool_version_check">Data!$B$1</definedName>
    <definedName name="tool_version_date">Data!$B$3</definedName>
    <definedName name="tool_vox_address">Data!$B$4</definedName>
    <definedName name="tool_vox_address_title">Data!$B$5</definedName>
    <definedName name="total_loe">Data!$B$2</definedName>
    <definedName name="track_loe_header_cell">'LOE Summary'!$B$5</definedName>
  </definedNames>
  <calcPr calcId="145621"/>
  <pivotCaches>
    <pivotCache cacheId="47" r:id="rId15"/>
  </pivotCaches>
  <extLst>
    <ext xmlns:mx="http://schemas.microsoft.com/office/mac/excel/2008/main" uri="{7523E5D3-25F3-A5E0-1632-64F254C22452}">
      <mx:ArchID Flags="2"/>
    </ext>
  </extLst>
</workbook>
</file>

<file path=xl/calcChain.xml><?xml version="1.0" encoding="utf-8"?>
<calcChain xmlns="http://schemas.openxmlformats.org/spreadsheetml/2006/main">
  <c r="N27" i="13" l="1"/>
  <c r="M27" i="13"/>
  <c r="N26" i="13"/>
  <c r="M26" i="13"/>
  <c r="N25" i="13"/>
  <c r="M25" i="13"/>
  <c r="N24" i="13"/>
  <c r="M24" i="13"/>
  <c r="N23" i="13"/>
  <c r="M23" i="13"/>
  <c r="N22" i="13"/>
  <c r="M22" i="13"/>
  <c r="N21" i="13"/>
  <c r="M21" i="13"/>
  <c r="N20" i="13"/>
  <c r="M20" i="13"/>
  <c r="N19" i="13"/>
  <c r="M19" i="13"/>
  <c r="N18" i="13"/>
  <c r="M18" i="13"/>
  <c r="N17" i="13"/>
  <c r="M17" i="13"/>
  <c r="N16" i="13"/>
  <c r="M16" i="13"/>
  <c r="N15" i="13"/>
  <c r="M15" i="13"/>
  <c r="N14" i="13"/>
  <c r="M14" i="13"/>
  <c r="N13" i="13"/>
  <c r="M13" i="13"/>
  <c r="N12" i="13"/>
  <c r="M12" i="13"/>
  <c r="N11" i="13"/>
  <c r="M11" i="13"/>
  <c r="N10" i="13"/>
  <c r="M10" i="13"/>
  <c r="N9" i="13"/>
  <c r="M9" i="13"/>
  <c r="N8" i="13"/>
  <c r="M8" i="13"/>
  <c r="N7" i="13"/>
  <c r="M7" i="13"/>
  <c r="M25" i="7"/>
  <c r="L25" i="7"/>
  <c r="M24" i="7"/>
  <c r="L24" i="7"/>
  <c r="M23" i="7"/>
  <c r="L23" i="7"/>
  <c r="M22" i="7"/>
  <c r="L22" i="7"/>
  <c r="M21" i="7"/>
  <c r="L21" i="7"/>
  <c r="M20" i="7"/>
  <c r="L20" i="7"/>
  <c r="M19" i="7"/>
  <c r="L19" i="7"/>
  <c r="M18" i="7"/>
  <c r="L18" i="7"/>
  <c r="M17" i="7"/>
  <c r="L17" i="7"/>
  <c r="M16" i="7"/>
  <c r="L16" i="7"/>
  <c r="M15" i="7"/>
  <c r="L15" i="7"/>
  <c r="M14" i="7"/>
  <c r="L14" i="7"/>
  <c r="M13" i="7"/>
  <c r="L13" i="7"/>
  <c r="M12" i="7"/>
  <c r="L12" i="7"/>
  <c r="M11" i="7"/>
  <c r="L11" i="7"/>
  <c r="M10" i="7"/>
  <c r="L10" i="7"/>
  <c r="M9" i="7"/>
  <c r="L9" i="7"/>
  <c r="M8" i="7"/>
  <c r="L8" i="7"/>
  <c r="M7" i="7"/>
  <c r="L7" i="7"/>
  <c r="M6" i="7"/>
  <c r="L6" i="7"/>
  <c r="M5" i="7"/>
  <c r="L5" i="7"/>
  <c r="F104" i="7"/>
  <c r="E104" i="7"/>
  <c r="F99" i="7"/>
  <c r="E99" i="7"/>
  <c r="F94" i="7"/>
  <c r="E94" i="7"/>
  <c r="F89" i="7"/>
  <c r="E89" i="7"/>
  <c r="F84" i="7"/>
  <c r="E84" i="7"/>
  <c r="F79" i="7"/>
  <c r="E79" i="7"/>
  <c r="F74" i="7"/>
  <c r="E74" i="7"/>
  <c r="F69" i="7"/>
  <c r="E69" i="7"/>
  <c r="F49" i="7"/>
  <c r="E49" i="7"/>
  <c r="F44" i="7"/>
  <c r="E44" i="7"/>
  <c r="F39" i="7"/>
  <c r="E39" i="7"/>
  <c r="F34" i="7"/>
  <c r="E34" i="7"/>
  <c r="F29" i="7"/>
  <c r="E29" i="7"/>
  <c r="F24" i="7"/>
  <c r="E24" i="7"/>
  <c r="F64" i="7" l="1"/>
  <c r="E64" i="7"/>
  <c r="F59" i="7"/>
  <c r="E59" i="7"/>
  <c r="F54" i="7" l="1"/>
  <c r="E54" i="7"/>
  <c r="F19" i="7"/>
  <c r="E19" i="7"/>
  <c r="F14" i="7"/>
  <c r="E14" i="7"/>
  <c r="F9" i="7"/>
  <c r="E9" i="7"/>
  <c r="B3" i="4" l="1"/>
  <c r="D5" i="17"/>
  <c r="C64" i="23"/>
  <c r="D60" i="23"/>
  <c r="C60" i="23"/>
  <c r="D42" i="23"/>
  <c r="D46" i="23"/>
  <c r="C63" i="23"/>
  <c r="C62" i="23"/>
  <c r="C61" i="23"/>
  <c r="D59" i="23"/>
  <c r="C59" i="23"/>
  <c r="D58" i="23"/>
  <c r="C58" i="23"/>
  <c r="C57" i="23"/>
  <c r="C56" i="23"/>
  <c r="C55" i="23"/>
  <c r="C54" i="23"/>
  <c r="C53" i="23"/>
  <c r="C52" i="23"/>
  <c r="C51" i="23"/>
  <c r="C50" i="23"/>
  <c r="C49" i="23"/>
  <c r="C48" i="23"/>
  <c r="C47" i="23"/>
  <c r="C46" i="23"/>
  <c r="C44" i="23"/>
  <c r="C43" i="23"/>
  <c r="C42" i="23"/>
  <c r="D41"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D7" i="23"/>
  <c r="C7" i="23"/>
  <c r="B5" i="15"/>
  <c r="E7" i="15"/>
  <c r="D7" i="15"/>
  <c r="C7" i="15"/>
  <c r="E8" i="15"/>
  <c r="D8" i="15"/>
  <c r="C8" i="15"/>
  <c r="E9" i="15"/>
  <c r="D9" i="15"/>
  <c r="C9" i="15"/>
  <c r="E10" i="15"/>
  <c r="K10" i="15" s="1"/>
  <c r="D10" i="15"/>
  <c r="C10" i="15"/>
  <c r="J10" i="15" s="1"/>
  <c r="E11" i="15"/>
  <c r="K11" i="15" s="1"/>
  <c r="D11" i="15"/>
  <c r="C11" i="15"/>
  <c r="J11" i="15"/>
  <c r="E12" i="15"/>
  <c r="D12" i="15"/>
  <c r="K12" i="15"/>
  <c r="C12" i="15"/>
  <c r="L12" i="15"/>
  <c r="J12" i="15"/>
  <c r="I12" i="15"/>
  <c r="G12" i="15"/>
  <c r="F12" i="15"/>
  <c r="H12" i="15"/>
  <c r="E13" i="15"/>
  <c r="D13" i="15"/>
  <c r="K13" i="15"/>
  <c r="C13" i="15"/>
  <c r="L13" i="15"/>
  <c r="J13" i="15"/>
  <c r="I13" i="15"/>
  <c r="G13" i="15"/>
  <c r="F13" i="15"/>
  <c r="H13" i="15"/>
  <c r="E14" i="15"/>
  <c r="D14" i="15"/>
  <c r="K14" i="15"/>
  <c r="C14" i="15"/>
  <c r="L14" i="15"/>
  <c r="J14" i="15"/>
  <c r="I14" i="15"/>
  <c r="G14" i="15"/>
  <c r="F14" i="15"/>
  <c r="H14" i="15"/>
  <c r="C15" i="15"/>
  <c r="D15" i="15"/>
  <c r="E15" i="15"/>
  <c r="F15" i="15"/>
  <c r="G15" i="15"/>
  <c r="H15" i="15"/>
  <c r="I15" i="15"/>
  <c r="J15" i="15"/>
  <c r="K15" i="15"/>
  <c r="L15" i="15"/>
  <c r="L16" i="15"/>
  <c r="K16" i="15"/>
  <c r="J16" i="15"/>
  <c r="I16" i="15"/>
  <c r="H16" i="15"/>
  <c r="G16" i="15"/>
  <c r="F16" i="15"/>
  <c r="E16" i="15"/>
  <c r="D16" i="15"/>
  <c r="C16" i="15"/>
  <c r="Q7" i="13"/>
  <c r="U7" i="13" s="1"/>
  <c r="E6" i="15"/>
  <c r="B1" i="15"/>
  <c r="S17" i="13"/>
  <c r="Q17" i="13"/>
  <c r="U17" i="13"/>
  <c r="S16" i="13"/>
  <c r="Q16" i="13"/>
  <c r="S15" i="13"/>
  <c r="Q15" i="13"/>
  <c r="U15" i="13" s="1"/>
  <c r="S14" i="13"/>
  <c r="Q14" i="13"/>
  <c r="U14" i="13" s="1"/>
  <c r="S13" i="13"/>
  <c r="Q13" i="13"/>
  <c r="S12" i="13"/>
  <c r="Q12" i="13"/>
  <c r="U12" i="13" s="1"/>
  <c r="S11" i="13"/>
  <c r="Q11" i="13"/>
  <c r="U11" i="13" s="1"/>
  <c r="S10" i="13"/>
  <c r="Q10" i="13"/>
  <c r="S9" i="13"/>
  <c r="Q9" i="13"/>
  <c r="U9" i="13" s="1"/>
  <c r="S8" i="13"/>
  <c r="Q8" i="13"/>
  <c r="U8" i="13" s="1"/>
  <c r="U10" i="13"/>
  <c r="S24" i="13"/>
  <c r="Q24" i="13"/>
  <c r="U24" i="13" s="1"/>
  <c r="S25" i="13"/>
  <c r="Q25" i="13"/>
  <c r="U25" i="13"/>
  <c r="S26" i="13"/>
  <c r="Q26" i="13"/>
  <c r="S27" i="13"/>
  <c r="Q27" i="13"/>
  <c r="U27" i="13" s="1"/>
  <c r="S28" i="13"/>
  <c r="Q28" i="13"/>
  <c r="U28" i="13"/>
  <c r="U26" i="13"/>
  <c r="AI14" i="17"/>
  <c r="AI43" i="17"/>
  <c r="AI42" i="17"/>
  <c r="AI41" i="17"/>
  <c r="AI40" i="17"/>
  <c r="AI39" i="17"/>
  <c r="AI38" i="17"/>
  <c r="AI37" i="17"/>
  <c r="AI36" i="17"/>
  <c r="AI35" i="17"/>
  <c r="AI34" i="17"/>
  <c r="AI33" i="17"/>
  <c r="AI32" i="17"/>
  <c r="AI31" i="17"/>
  <c r="AI30" i="17"/>
  <c r="AI29" i="17"/>
  <c r="AI28" i="17"/>
  <c r="AI27" i="17"/>
  <c r="AI26" i="17"/>
  <c r="AI25" i="17"/>
  <c r="AI24" i="17"/>
  <c r="AI21" i="17"/>
  <c r="AI20" i="17"/>
  <c r="AI19" i="17"/>
  <c r="AI18" i="17"/>
  <c r="AI17" i="17"/>
  <c r="AI16" i="17"/>
  <c r="AI15" i="17"/>
  <c r="AI13" i="17"/>
  <c r="AI12" i="17"/>
  <c r="AI9" i="17"/>
  <c r="AI11" i="17"/>
  <c r="D4" i="17"/>
  <c r="J8" i="17"/>
  <c r="K8" i="17"/>
  <c r="L8" i="17"/>
  <c r="M8" i="17"/>
  <c r="N8" i="17"/>
  <c r="O8" i="17"/>
  <c r="P8" i="17"/>
  <c r="Q8" i="17"/>
  <c r="R8" i="17"/>
  <c r="S8" i="17"/>
  <c r="T8" i="17"/>
  <c r="U8" i="17"/>
  <c r="V8" i="17"/>
  <c r="W8" i="17"/>
  <c r="X8" i="17"/>
  <c r="Y8" i="17"/>
  <c r="Z8" i="17"/>
  <c r="AA8" i="17"/>
  <c r="AB8" i="17"/>
  <c r="AC8" i="17"/>
  <c r="E3" i="17"/>
  <c r="E2" i="17"/>
  <c r="C1" i="6"/>
  <c r="D2" i="13"/>
  <c r="Q18" i="13"/>
  <c r="Q19" i="13"/>
  <c r="S19" i="13"/>
  <c r="U19" i="13"/>
  <c r="Q20" i="13"/>
  <c r="U20" i="13" s="1"/>
  <c r="Q21" i="13"/>
  <c r="Q22" i="13"/>
  <c r="Q23" i="13"/>
  <c r="S23" i="13"/>
  <c r="Q29" i="13"/>
  <c r="Q30" i="13"/>
  <c r="Q31" i="13"/>
  <c r="Q32" i="13"/>
  <c r="S32" i="13"/>
  <c r="U32" i="13"/>
  <c r="Q33" i="13"/>
  <c r="Q34" i="13"/>
  <c r="Q35" i="13"/>
  <c r="Q36" i="13"/>
  <c r="S36" i="13"/>
  <c r="U36" i="13"/>
  <c r="Q37" i="13"/>
  <c r="Q38" i="13"/>
  <c r="Q39" i="13"/>
  <c r="Q40" i="13"/>
  <c r="S40" i="13"/>
  <c r="U40" i="13"/>
  <c r="S18" i="13"/>
  <c r="S20" i="13"/>
  <c r="S21" i="13"/>
  <c r="S22" i="13"/>
  <c r="S29" i="13"/>
  <c r="S30" i="13"/>
  <c r="U30" i="13"/>
  <c r="S31" i="13"/>
  <c r="U31" i="13"/>
  <c r="S33" i="13"/>
  <c r="S34" i="13"/>
  <c r="S35" i="13"/>
  <c r="S37" i="13"/>
  <c r="S38" i="13"/>
  <c r="U38" i="13"/>
  <c r="S39" i="13"/>
  <c r="U39" i="13"/>
  <c r="U21" i="13"/>
  <c r="U22" i="13"/>
  <c r="U34" i="13"/>
  <c r="U35" i="13"/>
  <c r="G5" i="3"/>
  <c r="C50" i="20"/>
  <c r="C3" i="3"/>
  <c r="H3" i="20"/>
  <c r="H4" i="20"/>
  <c r="H5" i="20"/>
  <c r="H2" i="20"/>
  <c r="C51" i="20"/>
  <c r="C49" i="20"/>
  <c r="C48" i="20"/>
  <c r="C46" i="20"/>
  <c r="C45" i="20"/>
  <c r="C44" i="20"/>
  <c r="C43" i="20"/>
  <c r="C42" i="20"/>
  <c r="C41" i="20"/>
  <c r="C40" i="20"/>
  <c r="C39" i="20"/>
  <c r="C47" i="20"/>
  <c r="K7" i="17"/>
  <c r="L7" i="17"/>
  <c r="M7" i="17"/>
  <c r="N7" i="17"/>
  <c r="O7" i="17"/>
  <c r="P7" i="17"/>
  <c r="Q7" i="17"/>
  <c r="R7" i="17"/>
  <c r="S7" i="17"/>
  <c r="T7" i="17"/>
  <c r="U7" i="17"/>
  <c r="V7" i="17"/>
  <c r="W7" i="17"/>
  <c r="X7" i="17"/>
  <c r="Y7" i="17"/>
  <c r="Z7" i="17"/>
  <c r="AA7" i="17"/>
  <c r="AB7" i="17"/>
  <c r="AC7" i="17"/>
  <c r="J10" i="11"/>
  <c r="J11" i="11"/>
  <c r="J12" i="11"/>
  <c r="J13" i="11"/>
  <c r="J14" i="11"/>
  <c r="J12" i="12"/>
  <c r="J8" i="12"/>
  <c r="J7" i="12"/>
  <c r="J9" i="12"/>
  <c r="J10" i="12"/>
  <c r="J11" i="12"/>
  <c r="J13" i="12"/>
  <c r="J14" i="12"/>
  <c r="J15" i="12"/>
  <c r="J16" i="12"/>
  <c r="J17" i="12"/>
  <c r="J4" i="12"/>
  <c r="I4" i="12"/>
  <c r="J7" i="11"/>
  <c r="J8" i="11"/>
  <c r="J9" i="11"/>
  <c r="J15" i="11"/>
  <c r="J16" i="11"/>
  <c r="J6" i="11"/>
  <c r="J5" i="11"/>
  <c r="J18" i="11"/>
  <c r="J17" i="11"/>
  <c r="F4" i="7"/>
  <c r="E4" i="7"/>
  <c r="S7" i="13"/>
  <c r="D1" i="18"/>
  <c r="D2" i="12"/>
  <c r="C9" i="18"/>
  <c r="D9" i="18"/>
  <c r="E9" i="18"/>
  <c r="U37" i="13"/>
  <c r="U33" i="13"/>
  <c r="U29" i="13"/>
  <c r="J2" i="11"/>
  <c r="D6" i="15"/>
  <c r="D1" i="17"/>
  <c r="C2" i="11"/>
  <c r="D1" i="15"/>
  <c r="D1" i="7"/>
  <c r="E7" i="18"/>
  <c r="C7" i="18"/>
  <c r="D7" i="18"/>
  <c r="G11" i="15"/>
  <c r="G10" i="15"/>
  <c r="G9" i="15"/>
  <c r="G8" i="15"/>
  <c r="G7" i="15"/>
  <c r="G6" i="15"/>
  <c r="X22" i="17"/>
  <c r="AD12" i="17"/>
  <c r="AD11" i="17"/>
  <c r="AD25" i="17"/>
  <c r="AD26" i="17"/>
  <c r="AD20" i="17"/>
  <c r="AD19" i="17"/>
  <c r="AD36" i="17"/>
  <c r="AD29" i="17"/>
  <c r="M44" i="17"/>
  <c r="AH44" i="17"/>
  <c r="U22" i="17"/>
  <c r="AD42" i="17"/>
  <c r="L22" i="17"/>
  <c r="O22" i="17"/>
  <c r="Z22" i="17"/>
  <c r="AD34" i="17"/>
  <c r="AD17" i="17"/>
  <c r="AG44" i="17"/>
  <c r="AG22" i="17"/>
  <c r="O44" i="17"/>
  <c r="AD43" i="17"/>
  <c r="AH22" i="17"/>
  <c r="W44" i="17"/>
  <c r="P22" i="17"/>
  <c r="U44" i="17"/>
  <c r="AD16" i="17"/>
  <c r="AD33" i="17"/>
  <c r="L44" i="17"/>
  <c r="Y44" i="17"/>
  <c r="AB22" i="17"/>
  <c r="AI22" i="17"/>
  <c r="AD39" i="17"/>
  <c r="T44" i="17"/>
  <c r="AA22" i="17"/>
  <c r="AD18" i="17"/>
  <c r="R22" i="17"/>
  <c r="AD24" i="17"/>
  <c r="AA44" i="17"/>
  <c r="J44" i="17"/>
  <c r="AD13" i="17"/>
  <c r="R44" i="17"/>
  <c r="AD40" i="17"/>
  <c r="V22" i="17"/>
  <c r="AD30" i="17"/>
  <c r="AD32" i="17"/>
  <c r="J22" i="17"/>
  <c r="S44" i="17"/>
  <c r="Q44" i="17"/>
  <c r="K22" i="17"/>
  <c r="AC44" i="17"/>
  <c r="AD9" i="17"/>
  <c r="Z44" i="17"/>
  <c r="AD27" i="17"/>
  <c r="V44" i="17"/>
  <c r="AD31" i="17"/>
  <c r="AD14" i="17"/>
  <c r="AB44" i="17"/>
  <c r="M22" i="17"/>
  <c r="AD38" i="17"/>
  <c r="AC22" i="17"/>
  <c r="AD41" i="17"/>
  <c r="S22" i="17"/>
  <c r="N22" i="17"/>
  <c r="X44" i="17"/>
  <c r="P44" i="17"/>
  <c r="Y22" i="17"/>
  <c r="Q22" i="17"/>
  <c r="AD21" i="17"/>
  <c r="W22" i="17"/>
  <c r="N44" i="17"/>
  <c r="AD15" i="17"/>
  <c r="K44" i="17"/>
  <c r="AD44" i="17" s="1"/>
  <c r="AI44" i="17"/>
  <c r="AD35" i="17"/>
  <c r="T22" i="17"/>
  <c r="AD28" i="17"/>
  <c r="AD37" i="17"/>
  <c r="AD22" i="17"/>
  <c r="U23" i="13" l="1"/>
  <c r="U18" i="13"/>
  <c r="U16" i="13"/>
  <c r="U13" i="13"/>
  <c r="R4" i="13"/>
  <c r="D5" i="18" s="1"/>
  <c r="C6" i="15"/>
  <c r="I6" i="15" s="1"/>
  <c r="P4" i="13"/>
  <c r="C5" i="18" s="1"/>
  <c r="I8" i="15"/>
  <c r="I11" i="15"/>
  <c r="L11" i="15"/>
  <c r="L10" i="15"/>
  <c r="I10" i="15"/>
  <c r="F10" i="15"/>
  <c r="H10" i="15" s="1"/>
  <c r="F11" i="15"/>
  <c r="H11" i="15" s="1"/>
  <c r="F9" i="15"/>
  <c r="H9" i="15" s="1"/>
  <c r="J9" i="15"/>
  <c r="I9" i="15"/>
  <c r="J7" i="15"/>
  <c r="I7" i="15"/>
  <c r="K9" i="15"/>
  <c r="L9" i="15" s="1"/>
  <c r="F8" i="15"/>
  <c r="H8" i="15" s="1"/>
  <c r="K8" i="15"/>
  <c r="L8" i="15" s="1"/>
  <c r="J8" i="15"/>
  <c r="F7" i="15"/>
  <c r="H7" i="15" s="1"/>
  <c r="K7" i="15"/>
  <c r="L7" i="15" s="1"/>
  <c r="K6" i="15"/>
  <c r="C11" i="18"/>
  <c r="D11" i="18"/>
  <c r="AD45" i="17"/>
  <c r="C20" i="18" s="1"/>
  <c r="E11" i="18"/>
  <c r="AE37" i="17"/>
  <c r="AE28" i="17"/>
  <c r="T45" i="17"/>
  <c r="AE35" i="17"/>
  <c r="AE15" i="17"/>
  <c r="W45" i="17"/>
  <c r="AE21" i="17"/>
  <c r="Q45" i="17"/>
  <c r="Y45" i="17"/>
  <c r="N45" i="17"/>
  <c r="S45" i="17"/>
  <c r="AE41" i="17"/>
  <c r="AC45" i="17"/>
  <c r="AE38" i="17"/>
  <c r="M45" i="17"/>
  <c r="AE14" i="17"/>
  <c r="AE31" i="17"/>
  <c r="AE27" i="17"/>
  <c r="AE9" i="17"/>
  <c r="K45" i="17"/>
  <c r="J45" i="17"/>
  <c r="AE32" i="17"/>
  <c r="AE30" i="17"/>
  <c r="V45" i="17"/>
  <c r="AE40" i="17"/>
  <c r="AE13" i="17"/>
  <c r="AE24" i="17"/>
  <c r="R45" i="17"/>
  <c r="AE18" i="17"/>
  <c r="AA45" i="17"/>
  <c r="AE39" i="17"/>
  <c r="AI45" i="17"/>
  <c r="AB45" i="17"/>
  <c r="AE33" i="17"/>
  <c r="AE16" i="17"/>
  <c r="P45" i="17"/>
  <c r="AH45" i="17"/>
  <c r="AE43" i="17"/>
  <c r="AG45" i="17"/>
  <c r="AE17" i="17"/>
  <c r="AE34" i="17"/>
  <c r="Z45" i="17"/>
  <c r="O45" i="17"/>
  <c r="L45" i="17"/>
  <c r="AE42" i="17"/>
  <c r="U45" i="17"/>
  <c r="AE29" i="17"/>
  <c r="AE36" i="17"/>
  <c r="AE19" i="17"/>
  <c r="AE20" i="17"/>
  <c r="AE26" i="17"/>
  <c r="AE25" i="17"/>
  <c r="AE11" i="17"/>
  <c r="AE12" i="17"/>
  <c r="X45" i="17"/>
  <c r="T4" i="13" l="1"/>
  <c r="E5" i="18" s="1"/>
  <c r="E13" i="18" s="1"/>
  <c r="E14" i="18" s="1"/>
  <c r="D13" i="18"/>
  <c r="D14" i="18" s="1"/>
  <c r="C13" i="18"/>
  <c r="F6" i="15"/>
  <c r="H6" i="15" s="1"/>
  <c r="J6" i="15"/>
  <c r="L6" i="15"/>
  <c r="C24" i="18"/>
  <c r="B2" i="4" l="1"/>
  <c r="L6" i="18" s="1"/>
  <c r="D15" i="18"/>
  <c r="E15" i="18"/>
  <c r="C15" i="18"/>
  <c r="C14" i="18"/>
  <c r="G18" i="18"/>
  <c r="G22" i="18"/>
  <c r="G19" i="18"/>
  <c r="G23" i="18"/>
  <c r="G21" i="18"/>
  <c r="G24" i="18"/>
  <c r="G20" i="18"/>
  <c r="L8" i="18" l="1"/>
  <c r="C19" i="18"/>
  <c r="C23" i="18" s="1"/>
  <c r="I4" i="18"/>
  <c r="L13" i="18"/>
  <c r="L11" i="18"/>
</calcChain>
</file>

<file path=xl/comments1.xml><?xml version="1.0" encoding="utf-8"?>
<comments xmlns="http://schemas.openxmlformats.org/spreadsheetml/2006/main">
  <authors>
    <author>Benjamin Angel</author>
  </authors>
  <commentList>
    <comment ref="B3" authorId="0">
      <text>
        <r>
          <rPr>
            <sz val="8"/>
            <color indexed="81"/>
            <rFont val="Tahoma"/>
            <family val="2"/>
          </rPr>
          <t>This field drives the titles on other tabs.</t>
        </r>
      </text>
    </comment>
    <comment ref="B5" authorId="0">
      <text>
        <r>
          <rPr>
            <sz val="8"/>
            <color indexed="81"/>
            <rFont val="Tahoma"/>
            <family val="2"/>
          </rPr>
          <t>This field drives the titles on other tabs.</t>
        </r>
      </text>
    </comment>
    <comment ref="B8" authorId="0">
      <text>
        <r>
          <rPr>
            <sz val="8"/>
            <color indexed="81"/>
            <rFont val="Tahoma"/>
            <family val="2"/>
          </rPr>
          <t xml:space="preserve">Please enter your track (up to 21) in the existing table. You can add more tracks which will be available from the track dropdown on the tab 'Staffing Plan'. 
The limit for the 'LOE_Summary' however is 21. Please post a comment on https://vox.sapient.com/groups/estimation-tool-ongoing-releases?view=discussions in case you need support. </t>
        </r>
      </text>
    </comment>
  </commentList>
</comments>
</file>

<file path=xl/comments2.xml><?xml version="1.0" encoding="utf-8"?>
<comments xmlns="http://schemas.openxmlformats.org/spreadsheetml/2006/main">
  <authors>
    <author>Benjamin Angel</author>
    <author>WIN764BIT</author>
    <author>Sapient</author>
  </authors>
  <commentList>
    <comment ref="U4" authorId="0">
      <text>
        <r>
          <rPr>
            <sz val="8"/>
            <color indexed="81"/>
            <rFont val="Tahoma"/>
            <family val="2"/>
          </rPr>
          <t>This is the total WBS LOE that is used to calculate the total project LOE in the "Total LOE" tab.</t>
        </r>
      </text>
    </comment>
    <comment ref="B6" authorId="0">
      <text>
        <r>
          <rPr>
            <sz val="8"/>
            <color indexed="81"/>
            <rFont val="Tahoma"/>
            <family val="2"/>
          </rPr>
          <t>Column to show errors and warnings in stories.</t>
        </r>
      </text>
    </comment>
    <comment ref="C6" authorId="0">
      <text>
        <r>
          <rPr>
            <b/>
            <sz val="8"/>
            <color indexed="81"/>
            <rFont val="Tahoma"/>
            <family val="2"/>
          </rPr>
          <t xml:space="preserve">Required Field. </t>
        </r>
        <r>
          <rPr>
            <sz val="8"/>
            <color indexed="81"/>
            <rFont val="Tahoma"/>
            <family val="2"/>
          </rPr>
          <t>The category to which this story belongs, if any.</t>
        </r>
      </text>
    </comment>
    <comment ref="D6" authorId="1">
      <text>
        <r>
          <rPr>
            <b/>
            <sz val="8"/>
            <color indexed="81"/>
            <rFont val="Tahoma"/>
            <family val="2"/>
          </rPr>
          <t>Optional Field</t>
        </r>
      </text>
    </comment>
    <comment ref="E6" authorId="1">
      <text>
        <r>
          <rPr>
            <b/>
            <sz val="8"/>
            <color indexed="81"/>
            <rFont val="Tahoma"/>
            <family val="2"/>
          </rPr>
          <t>Optional Field</t>
        </r>
      </text>
    </comment>
    <comment ref="F6" authorId="0">
      <text>
        <r>
          <rPr>
            <b/>
            <sz val="8"/>
            <color indexed="81"/>
            <rFont val="Tahoma"/>
            <family val="2"/>
          </rPr>
          <t>Optional Field</t>
        </r>
        <r>
          <rPr>
            <sz val="8"/>
            <color indexed="81"/>
            <rFont val="Tahoma"/>
            <family val="2"/>
          </rPr>
          <t>. If known, the Track that will deliver this story.</t>
        </r>
      </text>
    </comment>
    <comment ref="G6" authorId="0">
      <text>
        <r>
          <rPr>
            <b/>
            <sz val="8"/>
            <color indexed="81"/>
            <rFont val="Tahoma"/>
            <family val="2"/>
          </rPr>
          <t>Required Field.</t>
        </r>
        <r>
          <rPr>
            <sz val="8"/>
            <color indexed="81"/>
            <rFont val="Tahoma"/>
            <family val="2"/>
          </rPr>
          <t xml:space="preserve"> Stories that comprise the solution.</t>
        </r>
      </text>
    </comment>
    <comment ref="H6" authorId="2">
      <text>
        <r>
          <rPr>
            <b/>
            <sz val="8"/>
            <color indexed="81"/>
            <rFont val="Tahoma"/>
            <family val="2"/>
          </rPr>
          <t xml:space="preserve">Optional </t>
        </r>
        <r>
          <rPr>
            <sz val="8"/>
            <color indexed="81"/>
            <rFont val="Tahoma"/>
            <family val="2"/>
          </rPr>
          <t>- If blank, story name will be used</t>
        </r>
      </text>
    </comment>
    <comment ref="I6" authorId="0">
      <text>
        <r>
          <rPr>
            <b/>
            <sz val="8"/>
            <color indexed="81"/>
            <rFont val="Tahoma"/>
            <family val="2"/>
          </rPr>
          <t>Recommended Field.</t>
        </r>
        <r>
          <rPr>
            <sz val="8"/>
            <color indexed="81"/>
            <rFont val="Tahoma"/>
            <family val="2"/>
          </rPr>
          <t xml:space="preserve"> A unique identifier for the requirement which this story helps to realize.
This is generally found in the Item # column of the Scope Matrix.</t>
        </r>
      </text>
    </comment>
    <comment ref="J6" authorId="0">
      <text>
        <r>
          <rPr>
            <b/>
            <sz val="8"/>
            <color indexed="81"/>
            <rFont val="Tahoma"/>
            <family val="2"/>
          </rPr>
          <t>Required Field</t>
        </r>
        <r>
          <rPr>
            <sz val="8"/>
            <color indexed="81"/>
            <rFont val="Tahoma"/>
            <family val="2"/>
          </rPr>
          <t xml:space="preserve">. Use this column to selectively remove items from the total estimates (while leaving them intact on this sheet). </t>
        </r>
      </text>
    </comment>
    <comment ref="K6" authorId="1">
      <text>
        <r>
          <rPr>
            <b/>
            <sz val="8"/>
            <color indexed="81"/>
            <rFont val="Tahoma"/>
            <family val="2"/>
          </rPr>
          <t>Optional Field</t>
        </r>
      </text>
    </comment>
    <comment ref="L6" authorId="0">
      <text>
        <r>
          <rPr>
            <b/>
            <sz val="8"/>
            <color indexed="81"/>
            <rFont val="Tahoma"/>
            <family val="2"/>
          </rPr>
          <t xml:space="preserve">Optional </t>
        </r>
        <r>
          <rPr>
            <sz val="8"/>
            <color indexed="81"/>
            <rFont val="Tahoma"/>
            <family val="2"/>
          </rPr>
          <t>- Select from a list of story types generated on the Tasks and Metrics tabs</t>
        </r>
      </text>
    </comment>
    <comment ref="M6" authorId="0">
      <text>
        <r>
          <rPr>
            <b/>
            <sz val="8"/>
            <color indexed="81"/>
            <rFont val="Tahoma"/>
            <family val="2"/>
          </rPr>
          <t>Required Field.</t>
        </r>
        <r>
          <rPr>
            <sz val="8"/>
            <color indexed="81"/>
            <rFont val="Tahoma"/>
            <family val="2"/>
          </rPr>
          <t xml:space="preserve"> The Aggressive But Possible (ABP) estimate for this story.
This is an estimate you expect to hit 50% of the time.</t>
        </r>
      </text>
    </comment>
    <comment ref="N6" authorId="0">
      <text>
        <r>
          <rPr>
            <b/>
            <sz val="8"/>
            <color indexed="81"/>
            <rFont val="Tahoma"/>
            <family val="2"/>
          </rPr>
          <t>Required Filed.</t>
        </r>
        <r>
          <rPr>
            <sz val="8"/>
            <color indexed="81"/>
            <rFont val="Tahoma"/>
            <family val="2"/>
          </rPr>
          <t xml:space="preserve"> The Highly Probable (HP) estimate for this story. 
This is an estimate you expect to hit &gt;90% of the time.</t>
        </r>
      </text>
    </comment>
    <comment ref="O6" authorId="0">
      <text>
        <r>
          <rPr>
            <b/>
            <sz val="8"/>
            <color indexed="81"/>
            <rFont val="Tahoma"/>
            <family val="2"/>
          </rPr>
          <t xml:space="preserve">Required Filed. </t>
        </r>
        <r>
          <rPr>
            <sz val="8"/>
            <color indexed="81"/>
            <rFont val="Tahoma"/>
            <family val="2"/>
          </rPr>
          <t>To be used only when you are estimating several 
stories that have the same ABP and HP.</t>
        </r>
      </text>
    </comment>
    <comment ref="P6" authorId="2">
      <text>
        <r>
          <rPr>
            <sz val="8"/>
            <color indexed="81"/>
            <rFont val="Tahoma"/>
            <family val="2"/>
          </rPr>
          <t>The yellow columns are intended as scratch areas. You may use them to create sub-totals or perform calculations of your own.</t>
        </r>
      </text>
    </comment>
    <comment ref="Q6" authorId="2">
      <text>
        <r>
          <rPr>
            <sz val="8"/>
            <color indexed="81"/>
            <rFont val="Tahoma"/>
            <family val="2"/>
          </rPr>
          <t xml:space="preserve">Calculated in Days
</t>
        </r>
      </text>
    </comment>
    <comment ref="R6" authorId="2">
      <text>
        <r>
          <rPr>
            <sz val="8"/>
            <color indexed="81"/>
            <rFont val="Tahoma"/>
            <family val="2"/>
          </rPr>
          <t xml:space="preserve">The yellow columns are intended as scratch areas. You may use them to create sub-totals or perform calculations of your own.
</t>
        </r>
      </text>
    </comment>
    <comment ref="S6" authorId="2">
      <text>
        <r>
          <rPr>
            <sz val="8"/>
            <color indexed="81"/>
            <rFont val="Tahoma"/>
            <family val="2"/>
          </rPr>
          <t xml:space="preserve">Calculated in Days 
</t>
        </r>
      </text>
    </comment>
    <comment ref="T6" authorId="2">
      <text>
        <r>
          <rPr>
            <sz val="8"/>
            <color indexed="81"/>
            <rFont val="Tahoma"/>
            <family val="2"/>
          </rPr>
          <t xml:space="preserve">The yellow columns are intended as scratch areas. You may use them to create sub-totals or perform calculations of your own.
</t>
        </r>
      </text>
    </comment>
    <comment ref="U6" authorId="0">
      <text>
        <r>
          <rPr>
            <sz val="8"/>
            <color indexed="81"/>
            <rFont val="Tahoma"/>
            <family val="2"/>
          </rPr>
          <t>Calculated in Days. The average of the ABP and HP.</t>
        </r>
      </text>
    </comment>
    <comment ref="V6" authorId="2">
      <text>
        <r>
          <rPr>
            <b/>
            <sz val="8"/>
            <color indexed="81"/>
            <rFont val="Tahoma"/>
            <family val="2"/>
          </rPr>
          <t>Optional Field.</t>
        </r>
        <r>
          <rPr>
            <sz val="8"/>
            <color indexed="81"/>
            <rFont val="Tahoma"/>
            <family val="2"/>
          </rPr>
          <t xml:space="preserve">
</t>
        </r>
      </text>
    </comment>
  </commentList>
</comments>
</file>

<file path=xl/comments3.xml><?xml version="1.0" encoding="utf-8"?>
<comments xmlns="http://schemas.openxmlformats.org/spreadsheetml/2006/main">
  <authors>
    <author>Benjamin Angel</author>
    <author>spurus</author>
  </authors>
  <commentList>
    <comment ref="B4" authorId="0">
      <text>
        <r>
          <rPr>
            <sz val="8"/>
            <color indexed="81"/>
            <rFont val="Tahoma"/>
            <family val="2"/>
          </rPr>
          <t>The category to which this add-in belongs.</t>
        </r>
      </text>
    </comment>
    <comment ref="C4" authorId="1">
      <text>
        <r>
          <rPr>
            <sz val="8"/>
            <color indexed="81"/>
            <rFont val="Tahoma"/>
            <family val="2"/>
          </rPr>
          <t xml:space="preserve">The project phase to which this add-in belongs.
</t>
        </r>
      </text>
    </comment>
    <comment ref="D4" authorId="0">
      <text>
        <r>
          <rPr>
            <sz val="8"/>
            <color indexed="81"/>
            <rFont val="Tahoma"/>
            <family val="2"/>
          </rPr>
          <t>The project track to which this add-in belongs.</t>
        </r>
      </text>
    </comment>
    <comment ref="E4" authorId="1">
      <text>
        <r>
          <rPr>
            <sz val="8"/>
            <color indexed="81"/>
            <rFont val="Tahoma"/>
            <family val="2"/>
          </rPr>
          <t>The project release to which this add-in belongs.</t>
        </r>
      </text>
    </comment>
    <comment ref="F4" authorId="0">
      <text>
        <r>
          <rPr>
            <sz val="8"/>
            <color indexed="81"/>
            <rFont val="Tahoma"/>
            <family val="2"/>
          </rPr>
          <t>If appropriate, include sub-items (use tabs to indent, or add columns of you prefer)</t>
        </r>
      </text>
    </comment>
    <comment ref="G4" authorId="0">
      <text>
        <r>
          <rPr>
            <sz val="8"/>
            <color indexed="81"/>
            <rFont val="Tahoma"/>
            <family val="2"/>
          </rPr>
          <t>Enter the number of people on the team to account for.  If this field is left blank then a value of 1 is used to determine the LOE.</t>
        </r>
      </text>
    </comment>
    <comment ref="J4" authorId="0">
      <text>
        <r>
          <rPr>
            <sz val="8"/>
            <color indexed="81"/>
            <rFont val="Tahoma"/>
            <family val="2"/>
          </rPr>
          <t>Note that this will reflect the Total LOE including the team size.</t>
        </r>
      </text>
    </comment>
  </commentList>
</comments>
</file>

<file path=xl/comments4.xml><?xml version="1.0" encoding="utf-8"?>
<comments xmlns="http://schemas.openxmlformats.org/spreadsheetml/2006/main">
  <authors>
    <author>Benjamin Angel</author>
    <author>spurus</author>
  </authors>
  <commentList>
    <comment ref="B6" authorId="0">
      <text>
        <r>
          <rPr>
            <sz val="8"/>
            <color indexed="81"/>
            <rFont val="Tahoma"/>
            <family val="2"/>
          </rPr>
          <t>The category to which this risk belongs.</t>
        </r>
      </text>
    </comment>
    <comment ref="C6" authorId="1">
      <text>
        <r>
          <rPr>
            <sz val="8"/>
            <color indexed="81"/>
            <rFont val="Tahoma"/>
            <family val="2"/>
          </rPr>
          <t>The project phase to which this risk belongs.</t>
        </r>
      </text>
    </comment>
    <comment ref="D6" authorId="0">
      <text>
        <r>
          <rPr>
            <sz val="8"/>
            <color indexed="81"/>
            <rFont val="Tahoma"/>
            <family val="2"/>
          </rPr>
          <t>The project track to which this risk belongs.</t>
        </r>
      </text>
    </comment>
    <comment ref="E6" authorId="1">
      <text>
        <r>
          <rPr>
            <sz val="8"/>
            <color indexed="81"/>
            <rFont val="Tahoma"/>
            <family val="2"/>
          </rPr>
          <t>The project release to which this risk belongs.</t>
        </r>
      </text>
    </comment>
    <comment ref="G6" authorId="0">
      <text>
        <r>
          <rPr>
            <sz val="8"/>
            <color indexed="81"/>
            <rFont val="Tahoma"/>
            <family val="2"/>
          </rPr>
          <t>Enter the number of people on the team to account for.  If this field is left blank then a value of 1 is used in the Risk calculation.</t>
        </r>
      </text>
    </comment>
    <comment ref="H6" authorId="0">
      <text>
        <r>
          <rPr>
            <sz val="8"/>
            <color indexed="81"/>
            <rFont val="Tahoma"/>
            <family val="2"/>
          </rPr>
          <t>Enter a value in person days</t>
        </r>
      </text>
    </comment>
    <comment ref="I6" authorId="0">
      <text>
        <r>
          <rPr>
            <sz val="8"/>
            <color indexed="81"/>
            <rFont val="Tahoma"/>
            <family val="2"/>
          </rPr>
          <t>Chance of something happening</t>
        </r>
      </text>
    </comment>
  </commentList>
</comments>
</file>

<file path=xl/comments5.xml><?xml version="1.0" encoding="utf-8"?>
<comments xmlns="http://schemas.openxmlformats.org/spreadsheetml/2006/main">
  <authors>
    <author>Sapient</author>
    <author>Benjamin Angel</author>
  </authors>
  <commentList>
    <comment ref="AF7" authorId="0">
      <text>
        <r>
          <rPr>
            <b/>
            <sz val="8"/>
            <color indexed="81"/>
            <rFont val="Tahoma"/>
            <family val="2"/>
          </rPr>
          <t>Sapient:</t>
        </r>
        <r>
          <rPr>
            <sz val="8"/>
            <color indexed="81"/>
            <rFont val="Tahoma"/>
            <family val="2"/>
          </rPr>
          <t xml:space="preserve">
The fields marked with light green are for capturing additional details. Please note that these will not be uploaded to the DT</t>
        </r>
      </text>
    </comment>
    <comment ref="C10" authorId="1">
      <text>
        <r>
          <rPr>
            <sz val="8"/>
            <color indexed="81"/>
            <rFont val="Tahoma"/>
            <family val="2"/>
          </rPr>
          <t xml:space="preserve">Enter all oversight roles with associated percentage allocation (0-1) for each week of the project. </t>
        </r>
      </text>
    </comment>
  </commentList>
</comments>
</file>

<file path=xl/comments6.xml><?xml version="1.0" encoding="utf-8"?>
<comments xmlns="http://schemas.openxmlformats.org/spreadsheetml/2006/main">
  <authors>
    <author>WIN764BIT</author>
  </authors>
  <commentList>
    <comment ref="C3" authorId="0">
      <text>
        <r>
          <rPr>
            <sz val="8"/>
            <color indexed="81"/>
            <rFont val="Tahoma"/>
            <family val="2"/>
          </rPr>
          <t>On the selection of any header from the dropdown, the respective formulas will be changed accordingly</t>
        </r>
      </text>
    </comment>
  </commentList>
</comments>
</file>

<file path=xl/comments7.xml><?xml version="1.0" encoding="utf-8"?>
<comments xmlns="http://schemas.openxmlformats.org/spreadsheetml/2006/main">
  <authors>
    <author>Benjamin Angel</author>
  </authors>
  <commentList>
    <comment ref="B19" authorId="0">
      <text>
        <r>
          <rPr>
            <sz val="8"/>
            <color indexed="81"/>
            <rFont val="Tahoma"/>
            <family val="2"/>
          </rPr>
          <t>Sum of WBS, add-ins, objective risk and oversight LOE</t>
        </r>
      </text>
    </comment>
    <comment ref="B20" authorId="0">
      <text>
        <r>
          <rPr>
            <sz val="8"/>
            <color indexed="81"/>
            <rFont val="Tahoma"/>
            <family val="2"/>
          </rPr>
          <t>Based on staffing plan</t>
        </r>
      </text>
    </comment>
  </commentList>
</comments>
</file>

<file path=xl/comments8.xml><?xml version="1.0" encoding="utf-8"?>
<comments xmlns="http://schemas.openxmlformats.org/spreadsheetml/2006/main">
  <authors>
    <author>Benjamin Angel</author>
  </authors>
  <commentList>
    <comment ref="D1" authorId="0">
      <text>
        <r>
          <rPr>
            <sz val="8"/>
            <color indexed="81"/>
            <rFont val="Tahoma"/>
            <family val="2"/>
          </rPr>
          <t>based on named ranges to retrieve the column index</t>
        </r>
      </text>
    </comment>
  </commentList>
</comments>
</file>

<file path=xl/sharedStrings.xml><?xml version="1.0" encoding="utf-8"?>
<sst xmlns="http://schemas.openxmlformats.org/spreadsheetml/2006/main" count="4453" uniqueCount="1325">
  <si>
    <t>Introduction</t>
  </si>
  <si>
    <t>Instructions</t>
  </si>
  <si>
    <t>Tips</t>
  </si>
  <si>
    <t>System requirements</t>
  </si>
  <si>
    <t>Known problems</t>
  </si>
  <si>
    <t>This Estimation tool is one of many tools that you will use to estimate and plan your project. Other tools you will use are the Scope Matrix, Release plan, Staffing Plan (included as a tab in this tool), Deal Tool (a.k.a. pricing sheet) and the planning features of ResultSpace. Estimation and planning are intertwined activities. This tool is not intended as a guide to the process, but merely as an efficient, consistent capture tool. Included boilerplate content helps teams avoid forgetting commonly conducted activities.</t>
  </si>
  <si>
    <t>Help - Estimation Tool</t>
  </si>
  <si>
    <t>Project Overview</t>
  </si>
  <si>
    <t>Client / Project Name</t>
  </si>
  <si>
    <t>PID</t>
  </si>
  <si>
    <t>Scope Matrix Filename</t>
  </si>
  <si>
    <t>Delivery/Non-Delivery</t>
  </si>
  <si>
    <t>Delivery</t>
  </si>
  <si>
    <t>Non-Delivery</t>
  </si>
  <si>
    <t>list_delivery_types</t>
  </si>
  <si>
    <t>tool_version_check</t>
  </si>
  <si>
    <t>list_sa_phases</t>
  </si>
  <si>
    <t>None</t>
  </si>
  <si>
    <t>Tasks (Metrics)</t>
  </si>
  <si>
    <t>Tasks</t>
  </si>
  <si>
    <t>Story Type</t>
  </si>
  <si>
    <t>ABP</t>
  </si>
  <si>
    <t>HP</t>
  </si>
  <si>
    <t>Assumptions</t>
  </si>
  <si>
    <t>&lt;Capture any bounding assumptions that affect the meaning or applicability of this metric&gt;</t>
  </si>
  <si>
    <t>list_story_types</t>
  </si>
  <si>
    <t>Metrics</t>
  </si>
  <si>
    <t>S|A Phase</t>
  </si>
  <si>
    <t>Add-ins</t>
  </si>
  <si>
    <t>Category</t>
  </si>
  <si>
    <t>Track</t>
  </si>
  <si>
    <t>Team Size
Multiplier</t>
  </si>
  <si>
    <r>
      <t xml:space="preserve">Add-in Activities
</t>
    </r>
    <r>
      <rPr>
        <sz val="8"/>
        <color theme="1"/>
        <rFont val="Calibri"/>
        <family val="2"/>
        <scheme val="minor"/>
      </rPr>
      <t>Required</t>
    </r>
  </si>
  <si>
    <t>Description / Metrics</t>
  </si>
  <si>
    <r>
      <t xml:space="preserve">LOE
</t>
    </r>
    <r>
      <rPr>
        <sz val="8"/>
        <color theme="1"/>
        <rFont val="Calibri"/>
        <family val="2"/>
        <scheme val="minor"/>
      </rPr>
      <t>Required</t>
    </r>
  </si>
  <si>
    <t>Notes</t>
  </si>
  <si>
    <t>Total LOE
Impact</t>
  </si>
  <si>
    <t>Vacation</t>
  </si>
  <si>
    <t>Illness/Sick Days</t>
  </si>
  <si>
    <t>Travel</t>
  </si>
  <si>
    <t>Training</t>
  </si>
  <si>
    <t>Public Holidays</t>
  </si>
  <si>
    <t>Use specific days when team is known, or 2.5 wks/year per person</t>
  </si>
  <si>
    <r>
      <t xml:space="preserve">Consider different geographies. The average across geographies is 12 days/year per person. There were some major variations observed across geographies. 
US - 7
UK - 19
DE - 18
India - 5
Canada - 10
</t>
    </r>
    <r>
      <rPr>
        <i/>
        <sz val="10"/>
        <color theme="1"/>
        <rFont val="Calibri"/>
        <family val="2"/>
        <scheme val="minor"/>
      </rPr>
      <t>* This data is from January 2006 - December 2006</t>
    </r>
  </si>
  <si>
    <r>
      <t xml:space="preserve">This figure is an average across various geographies. Not much variation in figures were observed across geographies. However the exact numer across geographies is:
US - 1
UK - 4
DE - 4
India - 2
Canada - 3
</t>
    </r>
    <r>
      <rPr>
        <i/>
        <sz val="10"/>
        <color theme="1"/>
        <rFont val="Calibri"/>
        <family val="2"/>
        <scheme val="minor"/>
      </rPr>
      <t>* This data is from January 2006 - December 2006</t>
    </r>
  </si>
  <si>
    <t>Use 3 days/year per Manager and above</t>
  </si>
  <si>
    <t>Use 5 days/year per person</t>
  </si>
  <si>
    <t>Include explicit time the team must travel (if on client site, for example)</t>
  </si>
  <si>
    <t>Use 3 days/year per person</t>
  </si>
  <si>
    <t>Template Row - do not delete</t>
  </si>
  <si>
    <t>Objective Risks</t>
  </si>
  <si>
    <r>
      <t xml:space="preserve">Risk
</t>
    </r>
    <r>
      <rPr>
        <sz val="8"/>
        <color theme="1"/>
        <rFont val="Calibri"/>
        <family val="2"/>
        <scheme val="minor"/>
      </rPr>
      <t>Required</t>
    </r>
  </si>
  <si>
    <r>
      <t xml:space="preserve">Impact (Person Days)
</t>
    </r>
    <r>
      <rPr>
        <sz val="10"/>
        <color theme="1"/>
        <rFont val="Calibri"/>
        <family val="2"/>
        <scheme val="minor"/>
      </rPr>
      <t>Required</t>
    </r>
  </si>
  <si>
    <r>
      <t xml:space="preserve">Likelihood (%)
</t>
    </r>
    <r>
      <rPr>
        <sz val="10"/>
        <color theme="1"/>
        <rFont val="Calibri"/>
        <family val="2"/>
        <scheme val="minor"/>
      </rPr>
      <t>Required</t>
    </r>
  </si>
  <si>
    <r>
      <t xml:space="preserve">Risk Buffer
</t>
    </r>
    <r>
      <rPr>
        <sz val="10"/>
        <color theme="1"/>
        <rFont val="Calibri"/>
        <family val="2"/>
        <scheme val="minor"/>
      </rPr>
      <t>Calculated (Person Days)</t>
    </r>
  </si>
  <si>
    <r>
      <t xml:space="preserve">Risk explanation and mitigation plan
</t>
    </r>
    <r>
      <rPr>
        <sz val="10"/>
        <color theme="1"/>
        <rFont val="Calibri"/>
        <family val="2"/>
        <scheme val="minor"/>
      </rPr>
      <t>Required</t>
    </r>
  </si>
  <si>
    <t>Risk Impact</t>
  </si>
  <si>
    <t>Risk Buffer</t>
  </si>
  <si>
    <t>Team / People</t>
  </si>
  <si>
    <t>Operational</t>
  </si>
  <si>
    <t>Quality</t>
  </si>
  <si>
    <t>Project / Program Mgmt</t>
  </si>
  <si>
    <t>Commercial</t>
  </si>
  <si>
    <t>Platform</t>
  </si>
  <si>
    <t>Stakeholder</t>
  </si>
  <si>
    <t>list_risk_categories</t>
  </si>
  <si>
    <t>Stories</t>
  </si>
  <si>
    <t>!</t>
  </si>
  <si>
    <t>Story Name</t>
  </si>
  <si>
    <t>Scope Reference</t>
  </si>
  <si>
    <t>In</t>
  </si>
  <si>
    <t>Out</t>
  </si>
  <si>
    <t>Description</t>
  </si>
  <si>
    <t>In/Out</t>
  </si>
  <si>
    <t>Multiplier</t>
  </si>
  <si>
    <t>Buffered</t>
  </si>
  <si>
    <t>Total LOE in Days</t>
  </si>
  <si>
    <t>dsgfk lkj dsf</t>
  </si>
  <si>
    <t>Story LOE</t>
  </si>
  <si>
    <t>Add-in LOE</t>
  </si>
  <si>
    <t>Risk LOE</t>
  </si>
  <si>
    <t>Staffed LOE</t>
  </si>
  <si>
    <t>Balance</t>
  </si>
  <si>
    <t>Staffing Plan</t>
  </si>
  <si>
    <t>Project Start Date</t>
  </si>
  <si>
    <t>Project End Date</t>
  </si>
  <si>
    <t>Project Schedule</t>
  </si>
  <si>
    <t>Bill Rate Category</t>
  </si>
  <si>
    <t>India Off-shore</t>
  </si>
  <si>
    <t>Location</t>
  </si>
  <si>
    <t>Title</t>
  </si>
  <si>
    <t>Role</t>
  </si>
  <si>
    <t>Oversight Roles</t>
  </si>
  <si>
    <t>Weeks</t>
  </si>
  <si>
    <t>list_bill_rate_categories</t>
  </si>
  <si>
    <t>Local</t>
  </si>
  <si>
    <t>India On-shore</t>
  </si>
  <si>
    <t>Days</t>
  </si>
  <si>
    <t>Project Net Work</t>
  </si>
  <si>
    <t>Total Oversight Person Days</t>
  </si>
  <si>
    <t>Team Roles</t>
  </si>
  <si>
    <t>Total Team Person Days</t>
  </si>
  <si>
    <t>Grand Total  Person Days</t>
  </si>
  <si>
    <t>Fusion</t>
  </si>
  <si>
    <t>Executable Architecture Release</t>
  </si>
  <si>
    <t>Ongoing Releases</t>
  </si>
  <si>
    <t>Amsterdam</t>
  </si>
  <si>
    <t>Atlanta</t>
  </si>
  <si>
    <t>Boston</t>
  </si>
  <si>
    <t>Calgary</t>
  </si>
  <si>
    <t>Charleston</t>
  </si>
  <si>
    <t>Chicago</t>
  </si>
  <si>
    <t>Denver</t>
  </si>
  <si>
    <t>Detroit</t>
  </si>
  <si>
    <t>Dusseldorf</t>
  </si>
  <si>
    <t>Geneva</t>
  </si>
  <si>
    <t>Halifax</t>
  </si>
  <si>
    <t>Hong Kong</t>
  </si>
  <si>
    <t>Houston</t>
  </si>
  <si>
    <t>Kansas City</t>
  </si>
  <si>
    <t>London</t>
  </si>
  <si>
    <t>Los Angeles</t>
  </si>
  <si>
    <t>Miami</t>
  </si>
  <si>
    <t>Minneapolis</t>
  </si>
  <si>
    <t>Munich</t>
  </si>
  <si>
    <t>New York</t>
  </si>
  <si>
    <t>San Diego</t>
  </si>
  <si>
    <t>San Francisco</t>
  </si>
  <si>
    <t>Schaffhausen</t>
  </si>
  <si>
    <t>Singapore</t>
  </si>
  <si>
    <t>Stockholm</t>
  </si>
  <si>
    <t>Toronto</t>
  </si>
  <si>
    <t>Washington DC</t>
  </si>
  <si>
    <t>Zurich</t>
  </si>
  <si>
    <t>Gurgaon</t>
  </si>
  <si>
    <t>Gurgaon SEZ</t>
  </si>
  <si>
    <t>Bangalore</t>
  </si>
  <si>
    <t>NOIDA</t>
  </si>
  <si>
    <t>list_project_tracks</t>
  </si>
  <si>
    <t>list_offices</t>
  </si>
  <si>
    <t>## Local Offices ##</t>
  </si>
  <si>
    <t>## India Offices ##</t>
  </si>
  <si>
    <t>list_roles</t>
  </si>
  <si>
    <t>Account Director</t>
  </si>
  <si>
    <t>Account Executive</t>
  </si>
  <si>
    <t>Account Manager</t>
  </si>
  <si>
    <t>Art Director</t>
  </si>
  <si>
    <t>Associate Media Operations</t>
  </si>
  <si>
    <t>Benefits</t>
  </si>
  <si>
    <t>Business Analyst</t>
  </si>
  <si>
    <t>Client Executive</t>
  </si>
  <si>
    <t>Content Strategist</t>
  </si>
  <si>
    <t>Copywriter</t>
  </si>
  <si>
    <t>DBA - DB2 UDB</t>
  </si>
  <si>
    <t>DBA - MS SQL Server</t>
  </si>
  <si>
    <t>DBA - Oracle</t>
  </si>
  <si>
    <t>DBA - Sybase</t>
  </si>
  <si>
    <t>Designer</t>
  </si>
  <si>
    <t>Developer - BI</t>
  </si>
  <si>
    <t>Developer - C++</t>
  </si>
  <si>
    <t>Developer - ETL</t>
  </si>
  <si>
    <t>Developer - Java</t>
  </si>
  <si>
    <t>Developer - Java eCommerce</t>
  </si>
  <si>
    <t>Developer - PL/SQL</t>
  </si>
  <si>
    <t>Developer - T-SQL</t>
  </si>
  <si>
    <t>Director Interactive Development</t>
  </si>
  <si>
    <t>Engagement Lead</t>
  </si>
  <si>
    <t>Facilitator</t>
  </si>
  <si>
    <t>Finance</t>
  </si>
  <si>
    <t>Group Account Director</t>
  </si>
  <si>
    <t>Hiring</t>
  </si>
  <si>
    <t>Information Architect</t>
  </si>
  <si>
    <t>Infrastructure Analyst</t>
  </si>
  <si>
    <t>Legal</t>
  </si>
  <si>
    <t>Marketing</t>
  </si>
  <si>
    <t>Media Director</t>
  </si>
  <si>
    <t>Media Planner</t>
  </si>
  <si>
    <t>PMO Administrator</t>
  </si>
  <si>
    <t>PMO Lead</t>
  </si>
  <si>
    <t>People Strategist</t>
  </si>
  <si>
    <t>Program Manager</t>
  </si>
  <si>
    <t>Relationship Developer</t>
  </si>
  <si>
    <t>Search Analyst</t>
  </si>
  <si>
    <t>Search Director</t>
  </si>
  <si>
    <t>Search Manager</t>
  </si>
  <si>
    <t>Senior Associate Media Operations</t>
  </si>
  <si>
    <t>Senior Media Planner</t>
  </si>
  <si>
    <t>Senior Search Analyst</t>
  </si>
  <si>
    <t>Site Developer</t>
  </si>
  <si>
    <t>Specialist - Infrastructure</t>
  </si>
  <si>
    <t>Specialist DBA - DB2 UDB</t>
  </si>
  <si>
    <t>Specialist DBA - MS SQL Server</t>
  </si>
  <si>
    <t>Specialist DBA - Oracle</t>
  </si>
  <si>
    <t>Specialist DBA - Sybase</t>
  </si>
  <si>
    <t>Specialist Test Automation</t>
  </si>
  <si>
    <t>Staffing Strategist</t>
  </si>
  <si>
    <t>Test Analyst Product</t>
  </si>
  <si>
    <t>Test Delivery Manager</t>
  </si>
  <si>
    <t>Test Lead</t>
  </si>
  <si>
    <t>Tester</t>
  </si>
  <si>
    <t>Track Lead - Java</t>
  </si>
  <si>
    <t>list_titles</t>
  </si>
  <si>
    <t>Analyst TRM Process Solutions</t>
  </si>
  <si>
    <t>Associate Business Consulting</t>
  </si>
  <si>
    <t>Associate Business Consulting TRM</t>
  </si>
  <si>
    <t>Associate Creative Director Experience Design</t>
  </si>
  <si>
    <t>Associate Database L1</t>
  </si>
  <si>
    <t>Associate Database L2</t>
  </si>
  <si>
    <t>Associate Infrastructure L1</t>
  </si>
  <si>
    <t>Associate Infrastructure L2</t>
  </si>
  <si>
    <t>Associate Oracle L1</t>
  </si>
  <si>
    <t>Associate Oracle L2</t>
  </si>
  <si>
    <t>Associate Program Management</t>
  </si>
  <si>
    <t>Associate QA L1</t>
  </si>
  <si>
    <t>Associate QA L2</t>
  </si>
  <si>
    <t>Associate Technology L1</t>
  </si>
  <si>
    <t>Associate Technology L2</t>
  </si>
  <si>
    <t>Associate TRM L1</t>
  </si>
  <si>
    <t>Associate TRM L2</t>
  </si>
  <si>
    <t>Associate TRM Process Solutions</t>
  </si>
  <si>
    <t>Associate TRM Process Solutions L1</t>
  </si>
  <si>
    <t>Associate TRM Process Solutions L2</t>
  </si>
  <si>
    <t>Business Analyst TRM Process Solutions</t>
  </si>
  <si>
    <t>Consultant Infrastructure SAP L2</t>
  </si>
  <si>
    <t>Consultant SAP L1</t>
  </si>
  <si>
    <t>Consultant SAP L2</t>
  </si>
  <si>
    <t>Controller TRM Process Solutions</t>
  </si>
  <si>
    <t>Creative Director Experience Design</t>
  </si>
  <si>
    <t>Director Business Consulting</t>
  </si>
  <si>
    <t>Director Business Consulting TRM</t>
  </si>
  <si>
    <t>Director Business Operations</t>
  </si>
  <si>
    <t>Director Content Strategy</t>
  </si>
  <si>
    <t>Director Design</t>
  </si>
  <si>
    <t>Director General Management</t>
  </si>
  <si>
    <t>Director Program Management</t>
  </si>
  <si>
    <t>Director QA</t>
  </si>
  <si>
    <t>Director SAP</t>
  </si>
  <si>
    <t>Director Technology</t>
  </si>
  <si>
    <t>Director TRM</t>
  </si>
  <si>
    <t>Director TRM Process Solutions</t>
  </si>
  <si>
    <t>Divisional Controller TRM Process Solutions</t>
  </si>
  <si>
    <t>Executive Creative Director</t>
  </si>
  <si>
    <t>Expert Database</t>
  </si>
  <si>
    <t>Expert Oracle</t>
  </si>
  <si>
    <t>Expert Platform</t>
  </si>
  <si>
    <t>Expert SAP</t>
  </si>
  <si>
    <t>Head Financial Control TRM Process Solutions</t>
  </si>
  <si>
    <t>Junior Associate Program Management</t>
  </si>
  <si>
    <t>Junior Associate Technology</t>
  </si>
  <si>
    <t>Junior Controller TRM Process Solutions</t>
  </si>
  <si>
    <t>Manager Business Analyst TRM Process Solutions</t>
  </si>
  <si>
    <t>Manager Business Consulting</t>
  </si>
  <si>
    <t>Manager Business Consulting TRM</t>
  </si>
  <si>
    <t>Manager Design</t>
  </si>
  <si>
    <t>Manager Oracle</t>
  </si>
  <si>
    <t>Manager Program Management</t>
  </si>
  <si>
    <t>Manager QA</t>
  </si>
  <si>
    <t>Manager SAP</t>
  </si>
  <si>
    <t>Manager Technology</t>
  </si>
  <si>
    <t>Manager TRM</t>
  </si>
  <si>
    <t>Manager TRM Process Solutions</t>
  </si>
  <si>
    <t>Officer TRM Process Solutions</t>
  </si>
  <si>
    <t>Operations Lead TRM Process Solutions</t>
  </si>
  <si>
    <t>Operations Manager TRM Process Solutions</t>
  </si>
  <si>
    <t>Section Controller TRM Process Solutions</t>
  </si>
  <si>
    <t>Senior Associate Business Consulting</t>
  </si>
  <si>
    <t>Senior Associate Business Consulting TRM</t>
  </si>
  <si>
    <t>Senior Associate Database L1</t>
  </si>
  <si>
    <t>Senior Associate Database L2</t>
  </si>
  <si>
    <t>Senior Associate Infrastructure L1</t>
  </si>
  <si>
    <t>Senior Associate Infrastructure L2</t>
  </si>
  <si>
    <t>Senior Associate Oracle L1</t>
  </si>
  <si>
    <t>Senior Associate Oracle L2</t>
  </si>
  <si>
    <t>Senior Associate Platform L1</t>
  </si>
  <si>
    <t>Senior Associate Platform L2</t>
  </si>
  <si>
    <t>Senior Associate Program Management</t>
  </si>
  <si>
    <t>Senior Associate QA L1</t>
  </si>
  <si>
    <t>Senior Associate QA L2</t>
  </si>
  <si>
    <t>Senior Associate Technology L1</t>
  </si>
  <si>
    <t>Senior Associate Technology L2</t>
  </si>
  <si>
    <t>Senior Associate TRM L1</t>
  </si>
  <si>
    <t>Senior Associate TRM L2</t>
  </si>
  <si>
    <t>Senior Associate TRM Process Solutions</t>
  </si>
  <si>
    <t>Senior Associate TRM Process Solutions L1</t>
  </si>
  <si>
    <t>Senior Associate TRM Process Solutions L2</t>
  </si>
  <si>
    <t>Senior Business Analyst TRM Process Solutions</t>
  </si>
  <si>
    <t>Senior Consultant Infrastructure SAP L1</t>
  </si>
  <si>
    <t>Senior Consultant Infrastructure SAP L2</t>
  </si>
  <si>
    <t>Senior Consultant SAP L1</t>
  </si>
  <si>
    <t>Senior Consultant SAP L2</t>
  </si>
  <si>
    <t>Senior Controller TRM Process Solutions</t>
  </si>
  <si>
    <t>Senior Designer L1</t>
  </si>
  <si>
    <t>Senior Designer L2</t>
  </si>
  <si>
    <t>Senior Manager Business Consulting</t>
  </si>
  <si>
    <t>Senior Manager Business Consulting TRM</t>
  </si>
  <si>
    <t>Senior Manager Content Strategy</t>
  </si>
  <si>
    <t>Senior Manager Design</t>
  </si>
  <si>
    <t>Senior Manager Oracle</t>
  </si>
  <si>
    <t>Senior Manager Program Management</t>
  </si>
  <si>
    <t>Senior Manager QA</t>
  </si>
  <si>
    <t>Senior Manager SAP</t>
  </si>
  <si>
    <t>Senior Manager Technology</t>
  </si>
  <si>
    <t>Senior Manager TRM</t>
  </si>
  <si>
    <t>Senior Manager TRM Process Solutions</t>
  </si>
  <si>
    <t>Senior Officer TRM Process Solutions</t>
  </si>
  <si>
    <t>Senior Specialist Database</t>
  </si>
  <si>
    <t>Senior Specialist Infrastructure</t>
  </si>
  <si>
    <t>Senior Specialist Infrastructure SAP</t>
  </si>
  <si>
    <t>Senior Specialist Oracle</t>
  </si>
  <si>
    <t>Senior Specialist Platform</t>
  </si>
  <si>
    <t>Senior Specialist SAP</t>
  </si>
  <si>
    <t>Specialist Database</t>
  </si>
  <si>
    <t>Specialist Infrastructure</t>
  </si>
  <si>
    <t>Specialist Infrastructure SAP</t>
  </si>
  <si>
    <t>Specialist Oracle</t>
  </si>
  <si>
    <t>Specialist Platform</t>
  </si>
  <si>
    <t>Specialist SAP</t>
  </si>
  <si>
    <t>Sr Manager Business Analyst TRM Process Solutions</t>
  </si>
  <si>
    <t>Team Manager TRM Process Solutions</t>
  </si>
  <si>
    <t>Trainee QA</t>
  </si>
  <si>
    <t>Trainee Technology</t>
  </si>
  <si>
    <t>Vice President Business Consulting</t>
  </si>
  <si>
    <t>Vice President Business Consulting TRM</t>
  </si>
  <si>
    <t>Vice President General Management</t>
  </si>
  <si>
    <t>Vice President Program Management</t>
  </si>
  <si>
    <t>Vice President SAP</t>
  </si>
  <si>
    <t>Vice President Technology</t>
  </si>
  <si>
    <t>Vice President TRM Process Solutions</t>
  </si>
  <si>
    <t>VP Content Strategy</t>
  </si>
  <si>
    <t>VP Design</t>
  </si>
  <si>
    <t>VP Experience Design</t>
  </si>
  <si>
    <t>VP Interactive Development</t>
  </si>
  <si>
    <t>Account Coordinator</t>
  </si>
  <si>
    <t>Account Supervisor</t>
  </si>
  <si>
    <t>Art Director L1</t>
  </si>
  <si>
    <t>Art Director L2</t>
  </si>
  <si>
    <t>Associate Art Director L1</t>
  </si>
  <si>
    <t>Associate Art Director L2</t>
  </si>
  <si>
    <t>Assistant Media Planner</t>
  </si>
  <si>
    <t>Associate Copywriter</t>
  </si>
  <si>
    <t>Associate Creative Director</t>
  </si>
  <si>
    <t>Associate Creative Operations</t>
  </si>
  <si>
    <t>Associate Interactive Program Management</t>
  </si>
  <si>
    <t>Associate Marketing Strategy &amp; Analysis</t>
  </si>
  <si>
    <t>Associate Media Director</t>
  </si>
  <si>
    <t>Associate Producer</t>
  </si>
  <si>
    <t>Associate Production/Logistics L1</t>
  </si>
  <si>
    <t>Associate Production/Logistics L2</t>
  </si>
  <si>
    <t>Associate Search Director</t>
  </si>
  <si>
    <t>Copy writer</t>
  </si>
  <si>
    <t>Creative Director</t>
  </si>
  <si>
    <t>Designer L1</t>
  </si>
  <si>
    <t>Designer L2</t>
  </si>
  <si>
    <t>Director Creative Operations</t>
  </si>
  <si>
    <t>Director Marketing Strategy &amp; Analysis</t>
  </si>
  <si>
    <t>Director Producer</t>
  </si>
  <si>
    <t>Information Architect L1</t>
  </si>
  <si>
    <t>Information Architect L2</t>
  </si>
  <si>
    <t>Interactive Developer L1</t>
  </si>
  <si>
    <t>Interactive Developer L2</t>
  </si>
  <si>
    <t>Jr Associate Interactive Program Management</t>
  </si>
  <si>
    <t>Jr Associate Marketing Strategy &amp; Analysis</t>
  </si>
  <si>
    <t>Jr Copywriter</t>
  </si>
  <si>
    <t>Jr Designer</t>
  </si>
  <si>
    <t>Jr Information Architect</t>
  </si>
  <si>
    <t>Junior Art Director</t>
  </si>
  <si>
    <t>Junior Associate Creative Operations</t>
  </si>
  <si>
    <t>Junior Associate Producer</t>
  </si>
  <si>
    <t>Junior Associate Production/Logistics</t>
  </si>
  <si>
    <t>Junior Interactive Developer</t>
  </si>
  <si>
    <t>Manager Content Strategy</t>
  </si>
  <si>
    <t>Manager Creative Operations</t>
  </si>
  <si>
    <t>Manager Information Architect</t>
  </si>
  <si>
    <t>Manager Interactive Development</t>
  </si>
  <si>
    <t>Manager Interactive Program Management</t>
  </si>
  <si>
    <t>Manager Marketing Strategy &amp; Analysis</t>
  </si>
  <si>
    <t>Manager Producer</t>
  </si>
  <si>
    <t>Manager Production/Logistics</t>
  </si>
  <si>
    <t>Media Supervisor</t>
  </si>
  <si>
    <t>Senior Art Director</t>
  </si>
  <si>
    <t>Senior Associate Creative Operations</t>
  </si>
  <si>
    <t>Senior Associate Marketing Strategy &amp; Analysis</t>
  </si>
  <si>
    <t>Senior Associate Producer</t>
  </si>
  <si>
    <t>Senior Associate Production/Logistics L1</t>
  </si>
  <si>
    <t>Senior Associate Production/Logistics L2</t>
  </si>
  <si>
    <t>Senior Content Strategist</t>
  </si>
  <si>
    <t>Senior Information Architect L1</t>
  </si>
  <si>
    <t>Senior Information Architect L2</t>
  </si>
  <si>
    <t>Senior Interactive Developer L1</t>
  </si>
  <si>
    <t>Senior Interactive Developer L2</t>
  </si>
  <si>
    <t>Senior Manager Creative Operations</t>
  </si>
  <si>
    <t>Senior Manager Interactive Development</t>
  </si>
  <si>
    <t>Senior Manager Marketing Strategy &amp; Analysis</t>
  </si>
  <si>
    <t>Senior Manager Producer</t>
  </si>
  <si>
    <t>Senior Manager Production/Logistics</t>
  </si>
  <si>
    <t>Sr Associate Interactive Program Management</t>
  </si>
  <si>
    <t>Sr Copywriter</t>
  </si>
  <si>
    <t>Sr Manager Interactive Program Management</t>
  </si>
  <si>
    <t>VP Group Account Director</t>
  </si>
  <si>
    <t>VP Creative</t>
  </si>
  <si>
    <t>VP Marketing Strategy &amp; Analysis</t>
  </si>
  <si>
    <t>VP Media</t>
  </si>
  <si>
    <t>Associate Alliances</t>
  </si>
  <si>
    <t>Associate Business Operations</t>
  </si>
  <si>
    <t>Associate Executive Admin</t>
  </si>
  <si>
    <t>Associate Expansion</t>
  </si>
  <si>
    <t>Associate Finance</t>
  </si>
  <si>
    <t>Associate Financial Analyst</t>
  </si>
  <si>
    <t>Associate GPM</t>
  </si>
  <si>
    <t>Associate Hiring</t>
  </si>
  <si>
    <t>Associate Hiring Coordinator</t>
  </si>
  <si>
    <t>Associate IT</t>
  </si>
  <si>
    <t>Associate IT GS Global Support L1</t>
  </si>
  <si>
    <t>Associate IT GS Global Support L2</t>
  </si>
  <si>
    <t>Associate IT Local Support L1</t>
  </si>
  <si>
    <t>Associate IT Local Support L2</t>
  </si>
  <si>
    <t>Associate IT Operations L1</t>
  </si>
  <si>
    <t>Associate IT Operations L2</t>
  </si>
  <si>
    <t>Associate Learning &amp; Development</t>
  </si>
  <si>
    <t>Associate Legal</t>
  </si>
  <si>
    <t>Associate Marketing</t>
  </si>
  <si>
    <t>Associate Office Services</t>
  </si>
  <si>
    <t>Associate People Strategy</t>
  </si>
  <si>
    <t>Associate People Strategy Compensation</t>
  </si>
  <si>
    <t>Associate Staffing</t>
  </si>
  <si>
    <t>Chief Executive Officer</t>
  </si>
  <si>
    <t>Chief Financial Officer</t>
  </si>
  <si>
    <t>Chief Information Officer</t>
  </si>
  <si>
    <t>Consultant DBA Oracle Applications L2</t>
  </si>
  <si>
    <t>Consultant Oracle Applications L1</t>
  </si>
  <si>
    <t>Consultant Oracle Applications L2</t>
  </si>
  <si>
    <t>Director Alliances</t>
  </si>
  <si>
    <t>Director Business Development</t>
  </si>
  <si>
    <t>Director Finance</t>
  </si>
  <si>
    <t>Director Hiring</t>
  </si>
  <si>
    <t>Director IT</t>
  </si>
  <si>
    <t>Director Learning &amp; Development</t>
  </si>
  <si>
    <t>Director Legal</t>
  </si>
  <si>
    <t>Director Marketing</t>
  </si>
  <si>
    <t>Director Office Services</t>
  </si>
  <si>
    <t>Director Operations</t>
  </si>
  <si>
    <t>Director People Strategy</t>
  </si>
  <si>
    <t>Director People Strategy Compensation</t>
  </si>
  <si>
    <t>Director Risk Management</t>
  </si>
  <si>
    <t>Executive Vice President</t>
  </si>
  <si>
    <t>Junior Associate IT</t>
  </si>
  <si>
    <t>Manager Alliances</t>
  </si>
  <si>
    <t>Manager Business Operations</t>
  </si>
  <si>
    <t>Manager Expansion</t>
  </si>
  <si>
    <t>Manager Finance</t>
  </si>
  <si>
    <t>Manager GPM</t>
  </si>
  <si>
    <t>Manager Hiring</t>
  </si>
  <si>
    <t>Manager IT</t>
  </si>
  <si>
    <t>Manager Learning &amp; Development</t>
  </si>
  <si>
    <t>Manager Legal</t>
  </si>
  <si>
    <t>Manager Marketing</t>
  </si>
  <si>
    <t>Manager Office Services</t>
  </si>
  <si>
    <t>Manager Operations</t>
  </si>
  <si>
    <t>Manager People Strategy</t>
  </si>
  <si>
    <t>Manager People Strategy Benefits</t>
  </si>
  <si>
    <t>Manager People Strategy Expatriate</t>
  </si>
  <si>
    <t>Manager Staffing</t>
  </si>
  <si>
    <t>Management Trainee People Success</t>
  </si>
  <si>
    <t>Payroll Analyst Finance</t>
  </si>
  <si>
    <t>Senior Vice President</t>
  </si>
  <si>
    <t>Senior Vice President General Counsel</t>
  </si>
  <si>
    <t>Senior Associate Alliances</t>
  </si>
  <si>
    <t>Senior Associate Business Operations</t>
  </si>
  <si>
    <t>Senior Associate Executive Admin</t>
  </si>
  <si>
    <t>Senior Associate Finance</t>
  </si>
  <si>
    <t>Senior Associate GPM</t>
  </si>
  <si>
    <t>Senior Associate Hiring</t>
  </si>
  <si>
    <t>Senior Associate Hiring Coordinator</t>
  </si>
  <si>
    <t>Senior Associate IT</t>
  </si>
  <si>
    <t>Senior Associate IT GS Global Support L1</t>
  </si>
  <si>
    <t>Senior Associate IT Local Support L1</t>
  </si>
  <si>
    <t>Senior Associate IT Local Support L2</t>
  </si>
  <si>
    <t>Senior Associate IT Operations L1</t>
  </si>
  <si>
    <t>Senior Associate IT Operations L2</t>
  </si>
  <si>
    <t>Senior Associate Learning &amp; Development</t>
  </si>
  <si>
    <t>Senior Associate Legal</t>
  </si>
  <si>
    <t>Senior Associate Marketing</t>
  </si>
  <si>
    <t>Senior Associate Office Services</t>
  </si>
  <si>
    <t>Senior Associate People Strategy</t>
  </si>
  <si>
    <t>Senior Associate Staffing</t>
  </si>
  <si>
    <t>Senior Consultant Oracle Applications L1</t>
  </si>
  <si>
    <t>Senior Consultant Oracle Applications L2</t>
  </si>
  <si>
    <t>Senior Manager Alliances</t>
  </si>
  <si>
    <t>Senior Manager Business Development</t>
  </si>
  <si>
    <t>Senior Manager Business Operations</t>
  </si>
  <si>
    <t>Senior Manager Expansion</t>
  </si>
  <si>
    <t>Senior Manager Finance</t>
  </si>
  <si>
    <t>Senior Manager GPM</t>
  </si>
  <si>
    <t>Senior Manager Hiring</t>
  </si>
  <si>
    <t>Senior Manager IT</t>
  </si>
  <si>
    <t>Senior Manager Learning &amp; Development</t>
  </si>
  <si>
    <t>Senior Manager Legal</t>
  </si>
  <si>
    <t>Senior Manager Marketing</t>
  </si>
  <si>
    <t>Senior Manager Office Services</t>
  </si>
  <si>
    <t>Senior Manager People Strategy</t>
  </si>
  <si>
    <t>Senior Manager People Strategy Benefits</t>
  </si>
  <si>
    <t>Senior Manager People Strategy Compensation</t>
  </si>
  <si>
    <t>Senior Manager Staffing</t>
  </si>
  <si>
    <t>Senior Specialist Executive Admin</t>
  </si>
  <si>
    <t>Senior Specialist IT</t>
  </si>
  <si>
    <t>Senior Specialist DBA Oracle Applications</t>
  </si>
  <si>
    <t>Senior Specialist Oracle Applications</t>
  </si>
  <si>
    <t>Specialist DBA Oracle Applications</t>
  </si>
  <si>
    <t>Specialist Executive Admin</t>
  </si>
  <si>
    <t>Specialist IT</t>
  </si>
  <si>
    <t>Specialist Oracle Applications</t>
  </si>
  <si>
    <t>Vice President Alliances</t>
  </si>
  <si>
    <t>Vice President Business Development</t>
  </si>
  <si>
    <t>Vice President Finance</t>
  </si>
  <si>
    <t>Vice President Learning &amp; Development</t>
  </si>
  <si>
    <t>Vice President Legal</t>
  </si>
  <si>
    <t>Vice President Managing Director</t>
  </si>
  <si>
    <t>Vice President Marketing</t>
  </si>
  <si>
    <t>Vice President People Success</t>
  </si>
  <si>
    <t>Vice President People Strategy</t>
  </si>
  <si>
    <t>Vice President Risk Management</t>
  </si>
  <si>
    <t>## Sapient Internal ##</t>
  </si>
  <si>
    <t>## Delivery Titles ##</t>
  </si>
  <si>
    <t>Objective Risk</t>
  </si>
  <si>
    <t>Oversight</t>
  </si>
  <si>
    <t>Total LOE in Weeks</t>
  </si>
  <si>
    <t>% of Buffered LOE</t>
  </si>
  <si>
    <t>Staffing Reconciliation</t>
  </si>
  <si>
    <t>Total LOE</t>
  </si>
  <si>
    <t>Total Person Days</t>
  </si>
  <si>
    <t>total_loe</t>
  </si>
  <si>
    <t>Difference</t>
  </si>
  <si>
    <t>Percentage</t>
  </si>
  <si>
    <t>Expected LOE Summary</t>
  </si>
  <si>
    <t>Component</t>
  </si>
  <si>
    <t>LOE in Days</t>
  </si>
  <si>
    <t>+</t>
  </si>
  <si>
    <t>RS2</t>
  </si>
  <si>
    <t>Name</t>
  </si>
  <si>
    <t>RS3</t>
  </si>
  <si>
    <t>ID</t>
  </si>
  <si>
    <t>Summary</t>
  </si>
  <si>
    <t>Assigned To</t>
  </si>
  <si>
    <t>Release</t>
  </si>
  <si>
    <t>Iteration</t>
  </si>
  <si>
    <t>Version</t>
  </si>
  <si>
    <t>Export
To</t>
  </si>
  <si>
    <t>Export Column
Position</t>
  </si>
  <si>
    <t>Export Column
Name</t>
  </si>
  <si>
    <t>Sheet Column
Name</t>
  </si>
  <si>
    <t>JIRA</t>
  </si>
  <si>
    <t>Output
Format</t>
  </si>
  <si>
    <t>CSV</t>
  </si>
  <si>
    <t>XLS</t>
  </si>
  <si>
    <t>Output
Filename</t>
  </si>
  <si>
    <t>Story ID</t>
  </si>
  <si>
    <t>TEST</t>
  </si>
  <si>
    <t>In Out</t>
  </si>
  <si>
    <t>list_scope_count</t>
  </si>
  <si>
    <t>tool_version_date</t>
  </si>
  <si>
    <t>tool_vox_address</t>
  </si>
  <si>
    <t>tool_vox_address_title</t>
  </si>
  <si>
    <t>https://vox.sapient.com/groups/estimation-tool-ongoing-releases/</t>
  </si>
  <si>
    <t>BE</t>
  </si>
  <si>
    <t>Developer Mobile Solutions L1</t>
  </si>
  <si>
    <t>Developer Mobile Solutions L2</t>
  </si>
  <si>
    <t>Junior Developer Mobile Solutions</t>
  </si>
  <si>
    <t>Manager Mobile Solutions</t>
  </si>
  <si>
    <t>Senior Developer Mobile Solutions L1</t>
  </si>
  <si>
    <t>Senior Developer Mobile Solutions L2</t>
  </si>
  <si>
    <t>Senior Manager Mobile Solutions</t>
  </si>
  <si>
    <t>Senior Specialist Mobile Solutions</t>
  </si>
  <si>
    <t>Specialist Mobile Solutions</t>
  </si>
  <si>
    <t>Trainee Mobile Solutions</t>
  </si>
  <si>
    <t>Cologne</t>
  </si>
  <si>
    <t>APM</t>
  </si>
  <si>
    <t>Account Operations</t>
  </si>
  <si>
    <t>Analyst Brand Strategy</t>
  </si>
  <si>
    <t>Analyst Consumer &amp; Industry Research</t>
  </si>
  <si>
    <t>Analyst Experience Research</t>
  </si>
  <si>
    <t>Analyst Marketing Analytics</t>
  </si>
  <si>
    <t>Analyst Marketing Strategy</t>
  </si>
  <si>
    <t>Architect - BridgeTrack</t>
  </si>
  <si>
    <t>Architect - C++</t>
  </si>
  <si>
    <t>Architect - Java</t>
  </si>
  <si>
    <t>Architect - MSFT</t>
  </si>
  <si>
    <t>Assembler/Finisher</t>
  </si>
  <si>
    <t>Business Strategy Analyst</t>
  </si>
  <si>
    <t>Business Strategy Analyst - TRM</t>
  </si>
  <si>
    <t>Creative Director - Content Strategy</t>
  </si>
  <si>
    <t>Creative Director - Copy</t>
  </si>
  <si>
    <t>Creative Director - Design</t>
  </si>
  <si>
    <t>Creative Director - IA</t>
  </si>
  <si>
    <t>DBA - BridgeTrack</t>
  </si>
  <si>
    <t>DBA - Oracle ERP</t>
  </si>
  <si>
    <t>Developer - AJAX</t>
  </si>
  <si>
    <t>Developer - BridgeTrack</t>
  </si>
  <si>
    <t>Developer - FLEX</t>
  </si>
  <si>
    <t>Developer - Flash</t>
  </si>
  <si>
    <t>Developer - Java CMS</t>
  </si>
  <si>
    <t>Developer - MSFT</t>
  </si>
  <si>
    <t>Developer - MSFT CMS</t>
  </si>
  <si>
    <t>Digital Printing Technician</t>
  </si>
  <si>
    <t>Director of Technology</t>
  </si>
  <si>
    <t>Engagement Lead - TRM Business Consulting</t>
  </si>
  <si>
    <t>Engagement Lead Brand Strategy</t>
  </si>
  <si>
    <t>Engagement Lead Experience Research</t>
  </si>
  <si>
    <t>Engagement Lead Marketing Analytics</t>
  </si>
  <si>
    <t>Engagement Lead Marketing Strategy</t>
  </si>
  <si>
    <t>Engagement Lead-Business Consulting</t>
  </si>
  <si>
    <t>Interactive Program Director</t>
  </si>
  <si>
    <t>Interactive Program Manager</t>
  </si>
  <si>
    <t>Interactive Project Manager</t>
  </si>
  <si>
    <t>Internal Assignment</t>
  </si>
  <si>
    <t>Junior Associate PM</t>
  </si>
  <si>
    <t>Lead Content Strategist</t>
  </si>
  <si>
    <t>Lead Copywriter</t>
  </si>
  <si>
    <t>Lead Designer</t>
  </si>
  <si>
    <t>Lead Facilitator</t>
  </si>
  <si>
    <t>Lead Information Architect</t>
  </si>
  <si>
    <t>Marketing Operations Lead</t>
  </si>
  <si>
    <t>Media Supervisor - Operations</t>
  </si>
  <si>
    <t>Media Supervisor - Planning</t>
  </si>
  <si>
    <t>Notetaker</t>
  </si>
  <si>
    <t>Ops</t>
  </si>
  <si>
    <t>Oracle Applications Specialist</t>
  </si>
  <si>
    <t>Oracle BI Consultant</t>
  </si>
  <si>
    <t>Oracle BI Manager</t>
  </si>
  <si>
    <t>Oracle ECM Consultant</t>
  </si>
  <si>
    <t>Oracle ECM Manager</t>
  </si>
  <si>
    <t>Oracle Engagement Manager</t>
  </si>
  <si>
    <t>Oracle Functional Consultant</t>
  </si>
  <si>
    <t>Oracle Functional Consultant Manager</t>
  </si>
  <si>
    <t>Oracle Middleware Consultant</t>
  </si>
  <si>
    <t>Oracle Middleware Manager</t>
  </si>
  <si>
    <t>Oracle Specialist BI</t>
  </si>
  <si>
    <t>Oracle Specialist ECM</t>
  </si>
  <si>
    <t>Oracle Specialist Middleware</t>
  </si>
  <si>
    <t>Oracle Sr. BI Consultant</t>
  </si>
  <si>
    <t>Oracle Sr. ECM Consultant</t>
  </si>
  <si>
    <t>Oracle Sr. Functional Consultant</t>
  </si>
  <si>
    <t>Oracle Sr. Middleware Consultant</t>
  </si>
  <si>
    <t>Oracle Sr. Technical Consultant</t>
  </si>
  <si>
    <t>Oracle Technical Consultant</t>
  </si>
  <si>
    <t>Oracle Technical Consultant Manager</t>
  </si>
  <si>
    <t>PM</t>
  </si>
  <si>
    <t>PMO Team Member</t>
  </si>
  <si>
    <t>Practitioner - TRM</t>
  </si>
  <si>
    <t>Print Manager</t>
  </si>
  <si>
    <t>Producer</t>
  </si>
  <si>
    <t>Production Director</t>
  </si>
  <si>
    <t>Production/Logistics Manager</t>
  </si>
  <si>
    <t>Project Lead Brand Strategy</t>
  </si>
  <si>
    <t>Project Lead Consumer &amp; Industry Research</t>
  </si>
  <si>
    <t>Project Lead Experience Research</t>
  </si>
  <si>
    <t>Project Lead Marketing Analytics</t>
  </si>
  <si>
    <t>Project Lead Marketing Strategy</t>
  </si>
  <si>
    <t>Proof Reader</t>
  </si>
  <si>
    <t>Relationship Manager</t>
  </si>
  <si>
    <t>Requirement Analyst - TRM</t>
  </si>
  <si>
    <t>Retail Merchandise Installer</t>
  </si>
  <si>
    <t>SAP ABAP Developer</t>
  </si>
  <si>
    <t>SAP ABAP Team Lead</t>
  </si>
  <si>
    <t>SAP BI ABAP Developer</t>
  </si>
  <si>
    <t>SAP BI Architect - Analytics</t>
  </si>
  <si>
    <t>SAP BI Architect - Data Warehouse</t>
  </si>
  <si>
    <t>SAP BI Consultant - Analytics</t>
  </si>
  <si>
    <t>SAP BI Consultant - MDM</t>
  </si>
  <si>
    <t>SAP BI Consultant - Portal</t>
  </si>
  <si>
    <t>SAP BI Developer - Extraction and Back End</t>
  </si>
  <si>
    <t>SAP BI Expert</t>
  </si>
  <si>
    <t>SAP BI Planning Consultant</t>
  </si>
  <si>
    <t>SAP BI Planning Consultant - BPC</t>
  </si>
  <si>
    <t>SAP BI Portal Architect</t>
  </si>
  <si>
    <t>SAP BI Project Manager</t>
  </si>
  <si>
    <t>SAP BI Reporting Developer - All</t>
  </si>
  <si>
    <t>SAP BI Strategic Consultant - Assessment</t>
  </si>
  <si>
    <t>SAP BI Team Lead</t>
  </si>
  <si>
    <t>SAP BI Technical Consultant - Assessment</t>
  </si>
  <si>
    <t>SAP Consolidations Consultant</t>
  </si>
  <si>
    <t>SAP Consultant - Archiving</t>
  </si>
  <si>
    <t>SAP Consultant - Workflow</t>
  </si>
  <si>
    <t>SAP Consultant - XI</t>
  </si>
  <si>
    <t>SAP Engagement Manager</t>
  </si>
  <si>
    <t>SAP Functional Consultant</t>
  </si>
  <si>
    <t>SAP Functional Team Lead</t>
  </si>
  <si>
    <t>SAP Infra Consultant - Basis and Security</t>
  </si>
  <si>
    <t>SAP Project Manager</t>
  </si>
  <si>
    <t>SAP Sr ABAP Developer</t>
  </si>
  <si>
    <t>SAP Sr BI Consultant - MDM</t>
  </si>
  <si>
    <t>SAP Sr BI Planning Consultant</t>
  </si>
  <si>
    <t>SAP Sr BI Planning Consultant - BPC</t>
  </si>
  <si>
    <t>SAP Sr Consolidations Consultant</t>
  </si>
  <si>
    <t>SAP Sr Functional Consultant</t>
  </si>
  <si>
    <t>SAP Sr Infra Consultant - Basis and Security</t>
  </si>
  <si>
    <t>SAP Technical Team Lead</t>
  </si>
  <si>
    <t>Senior Business Analyst</t>
  </si>
  <si>
    <t>Senior Business Strategy Analyst</t>
  </si>
  <si>
    <t>Senior Business Strategy Analyst - TRM</t>
  </si>
  <si>
    <t>Senior DBA - BridgeTrack</t>
  </si>
  <si>
    <t>Senior DBA - DB2 UDB</t>
  </si>
  <si>
    <t>Senior DBA - MS SQL Server</t>
  </si>
  <si>
    <t>Senior DBA - Oracle</t>
  </si>
  <si>
    <t>Senior DBA - Oracle ERP</t>
  </si>
  <si>
    <t>Senior DBA - Sybase</t>
  </si>
  <si>
    <t>Senior Developer - BI</t>
  </si>
  <si>
    <t>Senior Developer - BridgeTrack</t>
  </si>
  <si>
    <t>Senior Developer - C++ Platform</t>
  </si>
  <si>
    <t>Senior Developer - ETL</t>
  </si>
  <si>
    <t>Senior Developer - Java</t>
  </si>
  <si>
    <t>Senior Developer - Java CMS</t>
  </si>
  <si>
    <t>Senior Developer - Java Platform</t>
  </si>
  <si>
    <t>Senior Developer - Java eCommerce</t>
  </si>
  <si>
    <t>Senior Developer - MSFT</t>
  </si>
  <si>
    <t>Senior Developer - MSFT CMS</t>
  </si>
  <si>
    <t>Senior Developer - MSFT Platform</t>
  </si>
  <si>
    <t>Senior Developer - PL/SQL</t>
  </si>
  <si>
    <t>Senior Developer - T-SQL</t>
  </si>
  <si>
    <t>Senior Infrastructure Analyst</t>
  </si>
  <si>
    <t>Senior Practitioner - TRM</t>
  </si>
  <si>
    <t>Senior Producer</t>
  </si>
  <si>
    <t>Senior Requirement Analyst - TRM</t>
  </si>
  <si>
    <t>Senior Specialist Test Automation</t>
  </si>
  <si>
    <t>Senior Specialist Test Performance</t>
  </si>
  <si>
    <t>Senior Specialist Test Product</t>
  </si>
  <si>
    <t>Senior Technical Strategist</t>
  </si>
  <si>
    <t>Senior Technical Strategist - TRM</t>
  </si>
  <si>
    <t>Senior Test Delivery Manager</t>
  </si>
  <si>
    <t>Shipping Clerk</t>
  </si>
  <si>
    <t>Specialist - C++</t>
  </si>
  <si>
    <t>Specialist - Data Integration</t>
  </si>
  <si>
    <t>Specialist - Java</t>
  </si>
  <si>
    <t>Specialist - Java CMS</t>
  </si>
  <si>
    <t>Specialist - Java eCommerce</t>
  </si>
  <si>
    <t>Specialist - MSFT</t>
  </si>
  <si>
    <t>Specialist - MSFT CMS</t>
  </si>
  <si>
    <t>Specialist BI/DW</t>
  </si>
  <si>
    <t>Specialist DBA - BridgeTrack</t>
  </si>
  <si>
    <t>Specialist DBA - Oracle ERP</t>
  </si>
  <si>
    <t>Specialist Test Performance</t>
  </si>
  <si>
    <t>Specialist Test Product</t>
  </si>
  <si>
    <t>Studio Manager</t>
  </si>
  <si>
    <t>Support Specialist</t>
  </si>
  <si>
    <t>TRM - Collateral</t>
  </si>
  <si>
    <t>TRM - Legal</t>
  </si>
  <si>
    <t>TRM - Loans</t>
  </si>
  <si>
    <t>TRM Commodities - Confirmations</t>
  </si>
  <si>
    <t>TRM Commodities - Middle Office</t>
  </si>
  <si>
    <t>TRM Commodities - Settlements</t>
  </si>
  <si>
    <t>TRM Credit - Confirmations</t>
  </si>
  <si>
    <t>TRM Credit - Middle Office</t>
  </si>
  <si>
    <t>TRM Credit - Settlements</t>
  </si>
  <si>
    <t>TRM Developer - ETRM Package</t>
  </si>
  <si>
    <t>TRM Developer - Financial Package</t>
  </si>
  <si>
    <t>TRM Developer - Java</t>
  </si>
  <si>
    <t>TRM Developer - MSFT</t>
  </si>
  <si>
    <t>TRM Equities - Confirmations</t>
  </si>
  <si>
    <t>TRM Equities - Middle Office</t>
  </si>
  <si>
    <t>TRM Equities - Settlements</t>
  </si>
  <si>
    <t>TRM FXO - Confirmations</t>
  </si>
  <si>
    <t>TRM FXO - Middle Office</t>
  </si>
  <si>
    <t>TRM FXO - Settlements</t>
  </si>
  <si>
    <t>TRM Interest Rates - Confirmations</t>
  </si>
  <si>
    <t>TRM Interest Rates - Middle Office</t>
  </si>
  <si>
    <t>TRM Interest Rates - Settlements</t>
  </si>
  <si>
    <t>TRM Process Solutions - Business Analyst</t>
  </si>
  <si>
    <t>TRM Process Solutions - Program Office Support</t>
  </si>
  <si>
    <t>TRM Process Solutions - Programme Manager</t>
  </si>
  <si>
    <t>TRM Process Solutions - Project Manager</t>
  </si>
  <si>
    <t>TRM Specialist - ETRM Package</t>
  </si>
  <si>
    <t>TRM Specialist - Financial Package</t>
  </si>
  <si>
    <t>TRM Systems Architect - Java</t>
  </si>
  <si>
    <t>TRM Systems Architect - MSFT</t>
  </si>
  <si>
    <t>Technical Strategist</t>
  </si>
  <si>
    <t>Test Analyst</t>
  </si>
  <si>
    <t>Test Analyst Automation</t>
  </si>
  <si>
    <t>Test Analyst Performance</t>
  </si>
  <si>
    <t>Test Delivery Director</t>
  </si>
  <si>
    <t>Test Lead Automation</t>
  </si>
  <si>
    <t>Test Lead Performance</t>
  </si>
  <si>
    <t>Test Lead Product</t>
  </si>
  <si>
    <t>Tester Product</t>
  </si>
  <si>
    <t>Track Lead - BridgeTrack</t>
  </si>
  <si>
    <t>Track Lead - Flash</t>
  </si>
  <si>
    <t>Track Lead - MSFT</t>
  </si>
  <si>
    <t>Track Lead - Site Development</t>
  </si>
  <si>
    <t>VP</t>
  </si>
  <si>
    <t>Expert Infrastructure</t>
  </si>
  <si>
    <t>Associate People Strategy Benefits</t>
  </si>
  <si>
    <t>Associate People Strategy Expatriate</t>
  </si>
  <si>
    <t>Director Expansion</t>
  </si>
  <si>
    <t>Director GPM</t>
  </si>
  <si>
    <t>Director Oracle</t>
  </si>
  <si>
    <t>Director Staffing</t>
  </si>
  <si>
    <t>Manager IT GS Global Support</t>
  </si>
  <si>
    <t>Manager Oracle Applications</t>
  </si>
  <si>
    <t>Manager People Strategy Compensation</t>
  </si>
  <si>
    <t>Senior Associate IT GS Global Support L2</t>
  </si>
  <si>
    <t>Senior Associate People Strategy Benefits</t>
  </si>
  <si>
    <t>Senior Associate People Strategy Compensation</t>
  </si>
  <si>
    <t>Senior Associate People Strategy Expatriate</t>
  </si>
  <si>
    <t>Senior Consultant DBA Oracle Applications L1</t>
  </si>
  <si>
    <t>Senior Consultant DBA Oracle Applications L2</t>
  </si>
  <si>
    <t>Senior Manager Operations</t>
  </si>
  <si>
    <t>Senior Manager Oracle Applications</t>
  </si>
  <si>
    <t>Senior Manager Risk Management</t>
  </si>
  <si>
    <t>Trainee IT</t>
  </si>
  <si>
    <t>Trainee IT GS Global Support</t>
  </si>
  <si>
    <t>Vice President Hiring</t>
  </si>
  <si>
    <t>Vice President IT</t>
  </si>
  <si>
    <t>Vice President Operations</t>
  </si>
  <si>
    <t>ABP Calc</t>
  </si>
  <si>
    <t>HP Calc</t>
  </si>
  <si>
    <t>Buffered Calc</t>
  </si>
  <si>
    <t>Additional Details</t>
  </si>
  <si>
    <t>Rate</t>
  </si>
  <si>
    <t>Cost</t>
  </si>
  <si>
    <t>Comments</t>
  </si>
  <si>
    <t>Total Team Cost</t>
  </si>
  <si>
    <t>Grand Total Cost</t>
  </si>
  <si>
    <t>Director Interactive Program Management</t>
  </si>
  <si>
    <t>Associate Information Security</t>
  </si>
  <si>
    <t>Chief Information Security Officer</t>
  </si>
  <si>
    <t>Director Information Security</t>
  </si>
  <si>
    <t>Manager Information Security</t>
  </si>
  <si>
    <t>Senior Associate Information Security</t>
  </si>
  <si>
    <t>Senior Manager Information Security</t>
  </si>
  <si>
    <t>How to use tabs</t>
  </si>
  <si>
    <t>Preliminary Name</t>
  </si>
  <si>
    <t>Hour Per Day</t>
  </si>
  <si>
    <t>Percent
Allocation</t>
  </si>
  <si>
    <t>Total FTE Days</t>
  </si>
  <si>
    <t>Total Risk LOE (Calculated)</t>
  </si>
  <si>
    <t>Total Add-in LOE in days (Calculated)</t>
  </si>
  <si>
    <t>TITTLE_NAME</t>
  </si>
  <si>
    <t>ROLE_NAME</t>
  </si>
  <si>
    <t>Art Director - Concept</t>
  </si>
  <si>
    <t>Art Director - Design</t>
  </si>
  <si>
    <t>Content Coordinator</t>
  </si>
  <si>
    <t>Copywriter - Concept</t>
  </si>
  <si>
    <t>Copywriter - Content CCC</t>
  </si>
  <si>
    <t>Copywriter - Content Marketing</t>
  </si>
  <si>
    <t>Designer - Production</t>
  </si>
  <si>
    <t>Information Architect - Experience Design</t>
  </si>
  <si>
    <t>Interaction Designer L1</t>
  </si>
  <si>
    <t>Interaction Designer L2</t>
  </si>
  <si>
    <t>Animator - 3D Maya</t>
  </si>
  <si>
    <t>Animator - Flash</t>
  </si>
  <si>
    <t>Interactive Developer - FLEX</t>
  </si>
  <si>
    <t>Interactive Developer - Flash</t>
  </si>
  <si>
    <t>Interactive Developer - HTML/CSS/JS</t>
  </si>
  <si>
    <t>Interactive Developer - Javascript SME</t>
  </si>
  <si>
    <t>Interactive Developer - PHP</t>
  </si>
  <si>
    <t>Search Planner</t>
  </si>
  <si>
    <t>Associate Creative Director - Experience Design</t>
  </si>
  <si>
    <t>BA-Automotive - Requirement Definition</t>
  </si>
  <si>
    <t>BA-Consumer Packaged Goods - Strategy</t>
  </si>
  <si>
    <t>BA-Consumer Packaged Goods-Requirement Definition</t>
  </si>
  <si>
    <t>BA-Healthcare - Requirement Definition</t>
  </si>
  <si>
    <t>BA-Media/Entertainment - Process/OCM</t>
  </si>
  <si>
    <t>BA-Media/Entertainment - Requirement Definition</t>
  </si>
  <si>
    <t>BA-Mobile - Requirement Definition</t>
  </si>
  <si>
    <t>BA-Technology - Requirement Definition</t>
  </si>
  <si>
    <t>BA-Travel - Requirement Definition</t>
  </si>
  <si>
    <t>Associate Creative Director - Copy</t>
  </si>
  <si>
    <t>Associate Creative Director - Design</t>
  </si>
  <si>
    <t>Associate Creative Director - IA</t>
  </si>
  <si>
    <t>DBA</t>
  </si>
  <si>
    <t>Infrastructure Analyst - CMS</t>
  </si>
  <si>
    <t>Infrastructure Analyst - Commerce</t>
  </si>
  <si>
    <t>APM - Interactive</t>
  </si>
  <si>
    <t>Analyst Consumer &amp; Industry Research - UX</t>
  </si>
  <si>
    <t>Analyst Consumer&amp;Industry Research-Social Insights</t>
  </si>
  <si>
    <t>Analyst Experience Research - Discovery</t>
  </si>
  <si>
    <t>Analyst Experience Research - Marketing Strategy</t>
  </si>
  <si>
    <t>Analyst Experience Research - UX Assessment</t>
  </si>
  <si>
    <t>Analyst Experience Research - User Testing</t>
  </si>
  <si>
    <t>Analyst Experience Research-Requirement Definition</t>
  </si>
  <si>
    <t>Editor - Video</t>
  </si>
  <si>
    <t>Developer - ASP/dotNet</t>
  </si>
  <si>
    <t>Developer - ATG</t>
  </si>
  <si>
    <t>Developer - Adobe CQ</t>
  </si>
  <si>
    <t>Developer - Core Java</t>
  </si>
  <si>
    <t>Developer - Demandware</t>
  </si>
  <si>
    <t>Developer - Documentum</t>
  </si>
  <si>
    <t>Developer - Drupal</t>
  </si>
  <si>
    <t>Developer - Endeca</t>
  </si>
  <si>
    <t>Developer - Fatwire</t>
  </si>
  <si>
    <t>Developer - Hybris</t>
  </si>
  <si>
    <t>Developer - Interwoven</t>
  </si>
  <si>
    <t>Developer - Jahia</t>
  </si>
  <si>
    <t>Developer - Java Portal Package</t>
  </si>
  <si>
    <t>Developer - Java Web Presentation Framework</t>
  </si>
  <si>
    <t>Developer - Jive</t>
  </si>
  <si>
    <t>Developer - Liferay</t>
  </si>
  <si>
    <t>Developer - MVC</t>
  </si>
  <si>
    <t>Developer - Sharepoint</t>
  </si>
  <si>
    <t>Developer - Silverlight</t>
  </si>
  <si>
    <t>Developer - TIBCO</t>
  </si>
  <si>
    <t>Developer - Tridion</t>
  </si>
  <si>
    <t>Developer - WCF</t>
  </si>
  <si>
    <t>Developer - WCS</t>
  </si>
  <si>
    <t>Developer - dotNet</t>
  </si>
  <si>
    <t>Developer - dotNet/Core C#</t>
  </si>
  <si>
    <t>Mobile App Developer</t>
  </si>
  <si>
    <t>Mobile Developer - Android</t>
  </si>
  <si>
    <t>Mobile Developer - C++</t>
  </si>
  <si>
    <t>Mobile Developer - IOS</t>
  </si>
  <si>
    <t>Mobile Developer - Java</t>
  </si>
  <si>
    <t>Creative Director - Experience Design</t>
  </si>
  <si>
    <t>Engagement Lead Business Consulting</t>
  </si>
  <si>
    <t>Engagement Lead Content Strategy</t>
  </si>
  <si>
    <t>Expert Test</t>
  </si>
  <si>
    <t>Specialist DBA</t>
  </si>
  <si>
    <t>Infrastructure Sales Specialist</t>
  </si>
  <si>
    <t>Specialist - Adobe CQ</t>
  </si>
  <si>
    <t>Junior Producer</t>
  </si>
  <si>
    <t>Junior Interaction Designer</t>
  </si>
  <si>
    <t>Lead Content Strategist - Adobe CQ</t>
  </si>
  <si>
    <t>Lead Information Architect - Experience Design</t>
  </si>
  <si>
    <t>Lead Information Architect - Experience Strategy</t>
  </si>
  <si>
    <t>Manager Interaction Designer</t>
  </si>
  <si>
    <t>Senior Designer</t>
  </si>
  <si>
    <t>Track Lead Interactive Development</t>
  </si>
  <si>
    <t>Lead Consumer &amp; Industry Research</t>
  </si>
  <si>
    <t>Lead Consumer &amp; Industry Research - UX</t>
  </si>
  <si>
    <t>Lead Consumer &amp; Industry Research-Social Insights</t>
  </si>
  <si>
    <t>Lead Experience Research - Discovery</t>
  </si>
  <si>
    <t>Lead Experience Research - Marketing Strategy</t>
  </si>
  <si>
    <t>Lead Experience Research - Requirements Definition</t>
  </si>
  <si>
    <t>Lead Experience Research - UX Strategy</t>
  </si>
  <si>
    <t>Lead Experience Research - User Testing</t>
  </si>
  <si>
    <t>Lead Marketing Analytics</t>
  </si>
  <si>
    <t>Lead Marketing Strategy</t>
  </si>
  <si>
    <t>Track Lead Mobile - Android</t>
  </si>
  <si>
    <t>Track Lead Mobile - IOS</t>
  </si>
  <si>
    <t>Production Artist - Illustrator</t>
  </si>
  <si>
    <t>Production Artist - Storyboard</t>
  </si>
  <si>
    <t>Specialist Test ATG</t>
  </si>
  <si>
    <t>Specialist Test Creative</t>
  </si>
  <si>
    <t>Specialist Test DayCQ</t>
  </si>
  <si>
    <t>Specialist Test Demandware</t>
  </si>
  <si>
    <t>Specialist Test Hybris</t>
  </si>
  <si>
    <t>Specialist Test Intervowen</t>
  </si>
  <si>
    <t>Specialist Test Mobile</t>
  </si>
  <si>
    <t>Specialist Test Security</t>
  </si>
  <si>
    <t>Specialist Test Tridion</t>
  </si>
  <si>
    <t>Specialist Test WCS</t>
  </si>
  <si>
    <t>Track Lead - Liferay</t>
  </si>
  <si>
    <t>Track Lead - MVC</t>
  </si>
  <si>
    <t>Track Lead - Silverlight</t>
  </si>
  <si>
    <t>Track Lead - TIBCO</t>
  </si>
  <si>
    <t>Track Lead - WCF</t>
  </si>
  <si>
    <t>Senior DBA</t>
  </si>
  <si>
    <t>Senior Infrastructure Analyst - CMS</t>
  </si>
  <si>
    <t>Senior Infrastructure Analyst - Commerce</t>
  </si>
  <si>
    <t>Infrastructure Sales Analyst</t>
  </si>
  <si>
    <t>Test Analyst ATG</t>
  </si>
  <si>
    <t>Test Analyst Creative</t>
  </si>
  <si>
    <t>Test Analyst DayCQ</t>
  </si>
  <si>
    <t>Test Analyst Demandware</t>
  </si>
  <si>
    <t>Test Analyst Hybris</t>
  </si>
  <si>
    <t>Test Analyst Intervowen</t>
  </si>
  <si>
    <t>Test Analyst Mobile</t>
  </si>
  <si>
    <t>Test Analyst Security</t>
  </si>
  <si>
    <t>Test Analyst Tridion</t>
  </si>
  <si>
    <t>Test Analyst WCS</t>
  </si>
  <si>
    <t>Test Lead ATG</t>
  </si>
  <si>
    <t>Test Lead Creative</t>
  </si>
  <si>
    <t>Test Lead DayCQ</t>
  </si>
  <si>
    <t>Test Lead Demandware</t>
  </si>
  <si>
    <t>Test Lead Hybris</t>
  </si>
  <si>
    <t>Test Lead Intervowen</t>
  </si>
  <si>
    <t>Test Lead Mobile</t>
  </si>
  <si>
    <t>Test Lead Security</t>
  </si>
  <si>
    <t>Test Lead Tridion</t>
  </si>
  <si>
    <t>Test Lead WCS</t>
  </si>
  <si>
    <t>Senior Developer - Android</t>
  </si>
  <si>
    <t>Senior Mobile Developer - Java</t>
  </si>
  <si>
    <t>Senior Developer - Drupal</t>
  </si>
  <si>
    <t>Senior Developer - Hybris</t>
  </si>
  <si>
    <t>Senior Developer - IOS</t>
  </si>
  <si>
    <t>Senior Developer - Interwoven</t>
  </si>
  <si>
    <t>Senior Developer - Jahia</t>
  </si>
  <si>
    <t>Senior Developer - Java Portal Package</t>
  </si>
  <si>
    <t>Senior Developer - Java Web Presentation Framework</t>
  </si>
  <si>
    <t>Senior Developer - Jive</t>
  </si>
  <si>
    <t>Senior Developer - Sharepoint</t>
  </si>
  <si>
    <t>Senior Developer - Tridion</t>
  </si>
  <si>
    <t>Senior Developer - WCS</t>
  </si>
  <si>
    <t>Senior Mobile App Developer</t>
  </si>
  <si>
    <t>Senior Mobile Developer - C++</t>
  </si>
  <si>
    <t>Assistant Project Manager</t>
  </si>
  <si>
    <t>Brand Strategist</t>
  </si>
  <si>
    <t>Change Mgmt Consultant</t>
  </si>
  <si>
    <t>Engagement Leader</t>
  </si>
  <si>
    <t>Prototyper</t>
  </si>
  <si>
    <t>Recorder</t>
  </si>
  <si>
    <t>SME</t>
  </si>
  <si>
    <t>Stage Manager</t>
  </si>
  <si>
    <t>Subject Matter Expert</t>
  </si>
  <si>
    <t>Workshop Coordinator</t>
  </si>
  <si>
    <t>Senior Specialist Test</t>
  </si>
  <si>
    <t>Architect - ASP/dotNet</t>
  </si>
  <si>
    <t>Architect - ATG</t>
  </si>
  <si>
    <t>Architect - Adobe CQ</t>
  </si>
  <si>
    <t>Architect - Core Java</t>
  </si>
  <si>
    <t>Architect - Demandware</t>
  </si>
  <si>
    <t>Architect - Documentum</t>
  </si>
  <si>
    <t>Architect - Drupal</t>
  </si>
  <si>
    <t>Architect - Endeca</t>
  </si>
  <si>
    <t>Architect - Fatwire</t>
  </si>
  <si>
    <t>Architect - Hybris</t>
  </si>
  <si>
    <t>Architect - Interwoven</t>
  </si>
  <si>
    <t>Architect - Jahia</t>
  </si>
  <si>
    <t>Architect - Java Portal Package</t>
  </si>
  <si>
    <t>Architect - Java Web Presentation Framework</t>
  </si>
  <si>
    <t>Architect - Jive</t>
  </si>
  <si>
    <t>Architect - Liferay</t>
  </si>
  <si>
    <t>Architect - MVC</t>
  </si>
  <si>
    <t>Architect - PHP</t>
  </si>
  <si>
    <t>Architect - Sharepoint</t>
  </si>
  <si>
    <t>Architect - Silverlight</t>
  </si>
  <si>
    <t>Architect - TIBCO</t>
  </si>
  <si>
    <t>Architect - Tridion</t>
  </si>
  <si>
    <t>Architect - WCF</t>
  </si>
  <si>
    <t>Architect - WCS</t>
  </si>
  <si>
    <t>Architect - dotNet</t>
  </si>
  <si>
    <t>Architect - dotNet/Core C#</t>
  </si>
  <si>
    <t>Senior Mobile Platform Specialist - Android</t>
  </si>
  <si>
    <t>Senior Mobile Platform Specialist - IOS</t>
  </si>
  <si>
    <t>Senior Interaction Designer L1</t>
  </si>
  <si>
    <t>Senior Interaction Designer L2</t>
  </si>
  <si>
    <t>Motion Graphic Artist - Adobe After Affects</t>
  </si>
  <si>
    <t>Senior Developer - PHP</t>
  </si>
  <si>
    <t>Mobile Platform Specialist - Android</t>
  </si>
  <si>
    <t>Mobile Platform Specialist - IOS</t>
  </si>
  <si>
    <t>Lead Copywriter - Concept</t>
  </si>
  <si>
    <t>Lead Copywriter - Content CCC</t>
  </si>
  <si>
    <t>Lead Copywriter - Content Marketing</t>
  </si>
  <si>
    <t>Executive Creative Director - Content Strategy</t>
  </si>
  <si>
    <t>VP - Content Strategy</t>
  </si>
  <si>
    <t>VP - Design</t>
  </si>
  <si>
    <t>Executive Creative Director - Design</t>
  </si>
  <si>
    <t>Executive Creative Director - Experience Design</t>
  </si>
  <si>
    <t>VP - Experience Design</t>
  </si>
  <si>
    <t>VP - Interactive Development</t>
  </si>
  <si>
    <t>VP - Marketing Strategy and Analytics</t>
  </si>
  <si>
    <t>VP - Media</t>
  </si>
  <si>
    <t>VP - Business Consulting</t>
  </si>
  <si>
    <t>VP - Program Management</t>
  </si>
  <si>
    <t>VP - Technology</t>
  </si>
  <si>
    <t>Production Support Analyst</t>
  </si>
  <si>
    <t>Production Support Engineer</t>
  </si>
  <si>
    <t>Production Support Manager</t>
  </si>
  <si>
    <t>Production Support Senior Analyst</t>
  </si>
  <si>
    <t>Production Support Senior Manager</t>
  </si>
  <si>
    <t>Production Support Team Lead</t>
  </si>
  <si>
    <t>Blank Column reference</t>
  </si>
  <si>
    <t>No Role(s) defined for selected Title - please select another Title</t>
  </si>
  <si>
    <t>Role Message Text</t>
  </si>
  <si>
    <t>IT Generic</t>
  </si>
  <si>
    <t>Prod Support Generic</t>
  </si>
  <si>
    <t>IT Internal Generic</t>
  </si>
  <si>
    <t>Alliances Generic</t>
  </si>
  <si>
    <t>BA-Automotive - Process/OCM</t>
  </si>
  <si>
    <t>BA-Automotive - Strategy</t>
  </si>
  <si>
    <t>BA-Consumer Packaged Goods - Process/OCM</t>
  </si>
  <si>
    <t>BA-Financial Services - Process/OCM</t>
  </si>
  <si>
    <t>BA-Financial Services - Requirement Definition</t>
  </si>
  <si>
    <t>BA-Financial Services - Strategy</t>
  </si>
  <si>
    <t>BA-Healthcare - Process/OCM</t>
  </si>
  <si>
    <t>BA-Healthcare - Strategy</t>
  </si>
  <si>
    <t>BA-Media/Entertainment - Strategy</t>
  </si>
  <si>
    <t>BA-Mobile - Process/OCM</t>
  </si>
  <si>
    <t>BA-Mobile - Strategy</t>
  </si>
  <si>
    <t>BA-Retail/eCommerce - Process/OCM</t>
  </si>
  <si>
    <t>BA-Retail/eCommerce - Requirement Definition</t>
  </si>
  <si>
    <t>BA-Retail/eCommerce - Strategy</t>
  </si>
  <si>
    <t>BA-Technology - Process/OCM</t>
  </si>
  <si>
    <t>BA-Technology - Strategy</t>
  </si>
  <si>
    <t>BA-Travel - Process/OCM</t>
  </si>
  <si>
    <t>BA-Travel - Strategy</t>
  </si>
  <si>
    <t>Executive Admin Generic</t>
  </si>
  <si>
    <t>Expansion Generic</t>
  </si>
  <si>
    <t>Finance Generic</t>
  </si>
  <si>
    <t>PS Generic</t>
  </si>
  <si>
    <t>Hiring Generic</t>
  </si>
  <si>
    <t>Infrastructure Analyst - B&amp;R</t>
  </si>
  <si>
    <t>Legal Generic</t>
  </si>
  <si>
    <t>Marketing Generic</t>
  </si>
  <si>
    <t>Office Services Generic</t>
  </si>
  <si>
    <t>Staffing Generic</t>
  </si>
  <si>
    <t>General Management Generic</t>
  </si>
  <si>
    <t>Business Development Generic</t>
  </si>
  <si>
    <t>Ops Generic</t>
  </si>
  <si>
    <t>Service Delivery Lead</t>
  </si>
  <si>
    <t>Risk Mgmt Generic</t>
  </si>
  <si>
    <t>Sr BA-Automotive - Process/OCM</t>
  </si>
  <si>
    <t>Sr BA-Automotive - Requirement Definition</t>
  </si>
  <si>
    <t>Sr BA-Automotive - Strategy</t>
  </si>
  <si>
    <t>Sr BA-CPG - Process/OCM</t>
  </si>
  <si>
    <t>Sr BA-CPG - Requirement Definition</t>
  </si>
  <si>
    <t>Sr BA-CPG - Strategy</t>
  </si>
  <si>
    <t>Sr BA-Financial Services - Process/OCM</t>
  </si>
  <si>
    <t>Sr BA-Financial Services - Requirement Definition</t>
  </si>
  <si>
    <t>Sr BA-Financial Services - Strategy</t>
  </si>
  <si>
    <t>Sr BA-Healthcare - Process/OCM</t>
  </si>
  <si>
    <t>Sr BA-Healthcare - Requirement Definition</t>
  </si>
  <si>
    <t>Sr BA-Healthcare - Strategy</t>
  </si>
  <si>
    <t>Sr BA-Media/Entertainment - Process/OCM</t>
  </si>
  <si>
    <t>Sr BA-Media/Entertainment - Requirement Definition</t>
  </si>
  <si>
    <t>Sr BA-Media/Entertainment - Strategy</t>
  </si>
  <si>
    <t>Sr BA-Mobile - Process/OCM</t>
  </si>
  <si>
    <t>Sr BA-Mobile - Requirement Definition</t>
  </si>
  <si>
    <t>Sr BA-Mobile - Strategy</t>
  </si>
  <si>
    <t>Sr BA-Retail/eCommerce - Process/OCM</t>
  </si>
  <si>
    <t>Sr BA-Retail/eCommerce - Requirement Definition</t>
  </si>
  <si>
    <t>Sr BA-Retail/eCommerce - Strategy</t>
  </si>
  <si>
    <t>Sr BA-Technology - Process/OCM</t>
  </si>
  <si>
    <t>Sr BA-Technology - Requirement Definition</t>
  </si>
  <si>
    <t>Sr BA-Technology - Strategy</t>
  </si>
  <si>
    <t>Sr BA-Travel - Process/OCM</t>
  </si>
  <si>
    <t>Sr BA-Travel - Requirement Definition</t>
  </si>
  <si>
    <t>Sr BA-Travel - Strategy</t>
  </si>
  <si>
    <t>Senior Infrastructure Analyst - B&amp;R</t>
  </si>
  <si>
    <t>Release Manager - B&amp;R</t>
  </si>
  <si>
    <t>Issue Type</t>
  </si>
  <si>
    <t>JiraIssueType</t>
  </si>
  <si>
    <t>Component 1</t>
  </si>
  <si>
    <t>Component 2</t>
  </si>
  <si>
    <t>Issue Summary</t>
  </si>
  <si>
    <t>Label1</t>
  </si>
  <si>
    <t xml:space="preserve"> ABP</t>
  </si>
  <si>
    <t xml:space="preserve"> HP</t>
  </si>
  <si>
    <t>Buffered Estimate</t>
  </si>
  <si>
    <t>Comment</t>
  </si>
  <si>
    <t>JiraLabel3</t>
  </si>
  <si>
    <t>Reporter</t>
  </si>
  <si>
    <t>Story</t>
  </si>
  <si>
    <t>Tracker</t>
  </si>
  <si>
    <t>RS3TrackerType</t>
  </si>
  <si>
    <t>ETC</t>
  </si>
  <si>
    <t>Actual</t>
  </si>
  <si>
    <t>Start Date</t>
  </si>
  <si>
    <t>End Date</t>
  </si>
  <si>
    <t>Component 3</t>
  </si>
  <si>
    <t>Acct Director</t>
  </si>
  <si>
    <t>Client Services Director</t>
  </si>
  <si>
    <t>Experience Designer L1</t>
  </si>
  <si>
    <t>Experience Designer L2</t>
  </si>
  <si>
    <t>Junior Associate Business Operations</t>
  </si>
  <si>
    <t>Junior Experience Designer</t>
  </si>
  <si>
    <t>Manager Experience Design</t>
  </si>
  <si>
    <t>Senior Account Director</t>
  </si>
  <si>
    <t>Senior Account Executive</t>
  </si>
  <si>
    <t>Senior Account Manager</t>
  </si>
  <si>
    <t>Senior Experience Designer L1</t>
  </si>
  <si>
    <t>Senior Experience Designer L2</t>
  </si>
  <si>
    <t>VP Client Services</t>
  </si>
  <si>
    <t>Community Manager</t>
  </si>
  <si>
    <t>Social Experience Strategist</t>
  </si>
  <si>
    <t>Developer - Sitecore</t>
  </si>
  <si>
    <t>Architect - ETL</t>
  </si>
  <si>
    <t>Architect - PL/SQL</t>
  </si>
  <si>
    <t>Architect - Sitecore</t>
  </si>
  <si>
    <t>Senior Developer - ATG</t>
  </si>
  <si>
    <t>Senior Developer - Adobe CQ</t>
  </si>
  <si>
    <t>Senior Developer - Demandware</t>
  </si>
  <si>
    <t>Senior Developer - Endeca</t>
  </si>
  <si>
    <t>Senior Developer - Liferay</t>
  </si>
  <si>
    <t>Senior Developer - MVC</t>
  </si>
  <si>
    <t>Senior Developer - Silverlight</t>
  </si>
  <si>
    <t>Senior Developer - Sitecore</t>
  </si>
  <si>
    <t>Track Lead - ATG</t>
  </si>
  <si>
    <t>Track Lead - Adobe CQ</t>
  </si>
  <si>
    <t>Track Lead - Demandware</t>
  </si>
  <si>
    <t>Track Lead - Drupal</t>
  </si>
  <si>
    <t>Track Lead - ETL</t>
  </si>
  <si>
    <t>Track Lead - Endeca</t>
  </si>
  <si>
    <t>Track Lead - Hybris</t>
  </si>
  <si>
    <t>Track Lead - Interwoven</t>
  </si>
  <si>
    <t>Track Lead - PL/SQL</t>
  </si>
  <si>
    <t>Track Lead - Sharepoint</t>
  </si>
  <si>
    <t>Track Lead - Sitecore</t>
  </si>
  <si>
    <t>Track Lead - Tridion</t>
  </si>
  <si>
    <t>Track Lead - WCS</t>
  </si>
  <si>
    <t xml:space="preserve">                             Total LOE in Days</t>
  </si>
  <si>
    <t>&lt;Enter filename of scope matrix&gt;</t>
  </si>
  <si>
    <t>1. The tool has not been tested on different locales (i.e. UK, Germany, India), which may cause some date format issues. For example for German users ensure that your PC is configured to use (.) as the decimal symbol and not (,).
2. There might be small cosmetic issues, please report them on the Vox group: 'Sapient Estimation Tool Help Forum'</t>
  </si>
  <si>
    <t>Phase</t>
  </si>
  <si>
    <t>list_Release</t>
  </si>
  <si>
    <t>list_Phase</t>
  </si>
  <si>
    <t>Sub Category</t>
  </si>
  <si>
    <t>Add in %</t>
  </si>
  <si>
    <t>Risk %</t>
  </si>
  <si>
    <t>Add In + Risk LOE</t>
  </si>
  <si>
    <t>(Add In + Risk LOE)%</t>
  </si>
  <si>
    <t>Grand Total</t>
  </si>
  <si>
    <t>Sum of Buffered</t>
  </si>
  <si>
    <t>Select Track/Phase/release from dropdown in cell B3</t>
  </si>
  <si>
    <t>Enter any Tracks,Phase and Release you will have on your project here:</t>
  </si>
  <si>
    <t>Select View</t>
  </si>
  <si>
    <t>Total</t>
  </si>
  <si>
    <t>(blank)</t>
  </si>
  <si>
    <t>destABPCol = destWBHandle.Sheets(mappingxlSheet).Cells(61, 3).Value</t>
  </si>
  <si>
    <t>destHPCol = destWBHandle.Sheets(mappingxlSheet).Cells(62, 3).Value</t>
  </si>
  <si>
    <t>destAssumptionsCol = destWBHandle.Sheets(mappingxlSheet).Cells(63, 3).Value</t>
  </si>
  <si>
    <t xml:space="preserve">    destCategory = destWBHandle.Sheets(mappingxlSheet).Cells(7, 3).Value</t>
  </si>
  <si>
    <t xml:space="preserve">    destHeaderRow = destWBHandle.Sheets(mappingxlSheet).Cells(7, 4).Value</t>
  </si>
  <si>
    <t xml:space="preserve">    destSubCat = destWBHandle.Sheets(mappingxlSheet).Cells(8, 3).Value</t>
  </si>
  <si>
    <t xml:space="preserve">    destPhase = destWBHandle.Sheets(mappingxlSheet).Cells(9, 3).Value</t>
  </si>
  <si>
    <t xml:space="preserve">    destTrack = destWBHandle.Sheets(mappingxlSheet).Cells(10, 3).Value</t>
  </si>
  <si>
    <t xml:space="preserve">    destStoryName = destWBHandle.Sheets(mappingxlSheet).Cells(11, 3).Value</t>
  </si>
  <si>
    <t xml:space="preserve">    destDescription = destWBHandle.Sheets(mappingxlSheet).Cells(12, 3).Value</t>
  </si>
  <si>
    <t xml:space="preserve">    destScope = destWBHandle.Sheets(mappingxlSheet).Cells(13, 3).Value</t>
  </si>
  <si>
    <t xml:space="preserve">    destInOut = destWBHandle.Sheets(mappingxlSheet).Cells(14, 3).Value</t>
  </si>
  <si>
    <t xml:space="preserve">    destRel = destWBHandle.Sheets(mappingxlSheet).Cells(15, 3).Value</t>
  </si>
  <si>
    <t xml:space="preserve">    destStoryType = destWBHandle.Sheets(mappingxlSheet).Cells(16, 3).Value</t>
  </si>
  <si>
    <t xml:space="preserve">    destABP = destWBHandle.Sheets(mappingxlSheet).Cells(17, 3).Value</t>
  </si>
  <si>
    <t xml:space="preserve">    destHP = destWBHandle.Sheets(mappingxlSheet).Cells(18, 3).Value</t>
  </si>
  <si>
    <t xml:space="preserve">    destMult = destWBHandle.Sheets(mappingxlSheet).Cells(19, 3).Value</t>
  </si>
  <si>
    <t xml:space="preserve">    destABPCalc = destWBHandle.Sheets(mappingxlSheet).Cells(20, 3).Value</t>
  </si>
  <si>
    <t xml:space="preserve">    destHPCalc = destWBHandle.Sheets(mappingxlSheet).Cells(21, 3).Value</t>
  </si>
  <si>
    <t xml:space="preserve">    destBufferCalc = destWBHandle.Sheets(mappingxlSheet).Cells(22, 3).Value</t>
  </si>
  <si>
    <t xml:space="preserve">    destNotes = destWBHandle.Sheets(mappingxlSheet).Cells(23, 3).Value</t>
  </si>
  <si>
    <t xml:space="preserve">    destPrjStartDateCol = destWBHandle.Sheets(mappingxlSheet).Cells(42, 3).Value</t>
  </si>
  <si>
    <t xml:space="preserve">    destBillRateCat = destWBHandle.Sheets(mappingxlSheet).Cells(46, 3).Value</t>
  </si>
  <si>
    <t xml:space="preserve">    destBillRateCatRow = destWBHandle.Sheets(mappingxlSheet).Cells(46, 4).Value</t>
  </si>
  <si>
    <t xml:space="preserve">    destLoc = destWBHandle.Sheets(mappingxlSheet).Cells(47, 3).Value</t>
  </si>
  <si>
    <t xml:space="preserve">    destTitle = destWBHandle.Sheets(mappingxlSheet).Cells(48, 3).Value</t>
  </si>
  <si>
    <t xml:space="preserve">    destRole = destWBHandle.Sheets(mappingxlSheet).Cells(49, 3).Value</t>
  </si>
  <si>
    <t xml:space="preserve">    destPhase = destWBHandle.Sheets(mappingxlSheet).Cells(50, 3).Value</t>
  </si>
  <si>
    <t xml:space="preserve">    destTrack = destWBHandle.Sheets(mappingxlSheet).Cells(51, 3).Value</t>
  </si>
  <si>
    <t xml:space="preserve">    destRel = destWBHandle.Sheets(mappingxlSheet).Cells(52, 3).Value</t>
  </si>
  <si>
    <t xml:space="preserve">    destFirstDate = destWBHandle.Sheets(mappingxlSheet).Cells(53, 3).Value</t>
  </si>
  <si>
    <t xml:space="preserve">    destPreName = destWBHandle.Sheets(mappingxlSheet).Cells(54, 3).Value</t>
  </si>
  <si>
    <t xml:space="preserve">    destRate = destWBHandle.Sheets(mappingxlSheet).Cells(55, 3).Value</t>
  </si>
  <si>
    <t xml:space="preserve">    destHrsPerDay = destWBHandle.Sheets(mappingxlSheet).Cells(56, 3).Value</t>
  </si>
  <si>
    <t xml:space="preserve">    destComments = destWBHandle.Sheets(mappingxlSheet).Cells(57, 3).Value</t>
  </si>
  <si>
    <t xml:space="preserve">    destPrjStartDaterow = destWBHandle.Sheets(mappingxlSheet).Cells(42, 4).Value</t>
  </si>
  <si>
    <t>destCat = destWBHandle.Sheets(mappingxlSheet).Cells(33, 3).Value</t>
  </si>
  <si>
    <t>destPhase = destWBHandle.Sheets(mappingxlSheet).Cells(34, 3).Value</t>
  </si>
  <si>
    <t>destTrack = destWBHandle.Sheets(mappingxlSheet).Cells(35, 3).Value</t>
  </si>
  <si>
    <t>destrelease = destWBHandle.Sheets(mappingxlSheet).Cells(36, 3).Value</t>
  </si>
  <si>
    <t>destRisk = destWBHandle.Sheets(mappingxlSheet).Cells(37, 3).Value</t>
  </si>
  <si>
    <t>destTeamSize = destWBHandle.Sheets(mappingxlSheet).Cells(38, 3).Value</t>
  </si>
  <si>
    <t>destImpact = destWBHandle.Sheets(mappingxlSheet).Cells(39, 3).Value</t>
  </si>
  <si>
    <t>destLikelihood = destWBHandle.Sheets(mappingxlSheet).Cells(40, 3).Value</t>
  </si>
  <si>
    <t>destMitiAndRiskCol = destWBHandle.Sheets(mappingxlSheet).Cells(58, 3).Value</t>
  </si>
  <si>
    <t>destMitiAndRiskRow = destWBHandle.Sheets(mappingxlSheet).Cells(58, 4).Value</t>
  </si>
  <si>
    <t>destCat = destWBHandle.Sheets(mappingxlSheet).Cells(24, 3).Value</t>
  </si>
  <si>
    <t>destPhase = destWBHandle.Sheets(mappingxlSheet).Cells(25, 3).Value</t>
  </si>
  <si>
    <t>destTrack = destWBHandle.Sheets(mappingxlSheet).Cells(26, 3).Value</t>
  </si>
  <si>
    <t>destrelease = destWBHandle.Sheets(mappingxlSheet).Cells(27, 3).Value</t>
  </si>
  <si>
    <t>destAddinActivities = destWBHandle.Sheets(mappingxlSheet).Cells(28, 3).Value</t>
  </si>
  <si>
    <t>destTeamSize = destWBHandle.Sheets(mappingxlSheet).Cells(29, 3).Value</t>
  </si>
  <si>
    <t>destDesMetrics = destWBHandle.Sheets(mappingxlSheet).Cells(30, 3).Value</t>
  </si>
  <si>
    <t>destLOEReq = destWBHandle.Sheets(mappingxlSheet).Cells(31, 3).Value</t>
  </si>
  <si>
    <t>destLOEImpactCol = destWBHandle.Sheets(mappingxlSheet).Cells(59, 3).Value</t>
  </si>
  <si>
    <t>destLOEImpactRow = destWBHandle.Sheets(mappingxlSheet).Cells(59, 4).Value</t>
  </si>
  <si>
    <t>destNotes = destWBHandle.Sheets(mappingxlSheet).Cells(32, 3).Value</t>
  </si>
  <si>
    <t xml:space="preserve"> 3).Value</t>
  </si>
  <si>
    <t xml:space="preserve"> 4).Value</t>
  </si>
  <si>
    <t>asdsa</t>
  </si>
  <si>
    <t>dsad</t>
  </si>
  <si>
    <t>sads</t>
  </si>
  <si>
    <t>Add-Ins</t>
  </si>
  <si>
    <t>Add-in Activities
Required</t>
  </si>
  <si>
    <t>LOE
Required</t>
  </si>
  <si>
    <t>Risk
Required</t>
  </si>
  <si>
    <t>Impact (Person Days)
Required</t>
  </si>
  <si>
    <t>Likelihood (%)
Required</t>
  </si>
  <si>
    <t>Risk explanation and mitigation plan
Required</t>
  </si>
  <si>
    <t>destFirstDate</t>
  </si>
  <si>
    <t>Story Types</t>
  </si>
  <si>
    <t>Assumption</t>
  </si>
  <si>
    <t>Risk Buffer
Calculated (Person Days)</t>
  </si>
  <si>
    <r>
      <t xml:space="preserve">The use of this tool is not entirely linear. Use this as a general guide, and please post any questions you may have on the </t>
    </r>
    <r>
      <rPr>
        <sz val="10"/>
        <rFont val="Calibri"/>
        <family val="2"/>
      </rPr>
      <t xml:space="preserve">Sapient Estimation Tool Help Forum on Vox.
1. Capture basic info for your project on the </t>
    </r>
    <r>
      <rPr>
        <i/>
        <sz val="10"/>
        <rFont val="Calibri"/>
        <family val="2"/>
      </rPr>
      <t>Project Overview</t>
    </r>
    <r>
      <rPr>
        <sz val="10"/>
        <rFont val="Calibri"/>
        <family val="2"/>
      </rPr>
      <t xml:space="preserve"> tab. This will drive headers to facilitate printing.
2. Identify the metrics for the project and enter these in the </t>
    </r>
    <r>
      <rPr>
        <i/>
        <sz val="10"/>
        <rFont val="Calibri"/>
        <family val="2"/>
      </rPr>
      <t>Story Type</t>
    </r>
    <r>
      <rPr>
        <sz val="10"/>
        <rFont val="Calibri"/>
        <family val="2"/>
      </rPr>
      <t xml:space="preserve"> tab.
3. Populate the tasks for every one of the metrics identified/ selected.
4. Decompose your solution requirements into stories on the </t>
    </r>
    <r>
      <rPr>
        <i/>
        <sz val="10"/>
        <rFont val="Calibri"/>
        <family val="2"/>
      </rPr>
      <t>Stories</t>
    </r>
    <r>
      <rPr>
        <sz val="10"/>
        <rFont val="Calibri"/>
        <family val="2"/>
      </rPr>
      <t xml:space="preserve"> tab.
5. Enter your ABP/ HP estimates for each story.
6. Create a release plan outside this tool, assigning each story to an iteration.
7. Create </t>
    </r>
    <r>
      <rPr>
        <i/>
        <sz val="10"/>
        <rFont val="Calibri"/>
        <family val="2"/>
      </rPr>
      <t>Add-ins</t>
    </r>
    <r>
      <rPr>
        <sz val="10"/>
        <rFont val="Calibri"/>
        <family val="2"/>
      </rPr>
      <t xml:space="preserve"> (some of which are based on the level of staffing).
8. Document </t>
    </r>
    <r>
      <rPr>
        <i/>
        <sz val="10"/>
        <rFont val="Calibri"/>
        <family val="2"/>
      </rPr>
      <t>Objective Risks</t>
    </r>
    <r>
      <rPr>
        <sz val="10"/>
        <rFont val="Calibri"/>
        <family val="2"/>
      </rPr>
      <t xml:space="preserve">, and include mitigation plans (where relevant). Identify any residual risk and identify a buffer size.
9. Transfer the resource needs from your release plan onto the </t>
    </r>
    <r>
      <rPr>
        <i/>
        <sz val="10"/>
        <rFont val="Calibri"/>
        <family val="2"/>
      </rPr>
      <t>Staffing Plan</t>
    </r>
    <r>
      <rPr>
        <sz val="10"/>
        <rFont val="Calibri"/>
        <family val="2"/>
      </rPr>
      <t xml:space="preserve"> tab.
10. Use the </t>
    </r>
    <r>
      <rPr>
        <i/>
        <sz val="10"/>
        <rFont val="Calibri"/>
        <family val="2"/>
      </rPr>
      <t>LOE Summary</t>
    </r>
    <r>
      <rPr>
        <sz val="10"/>
        <rFont val="Calibri"/>
        <family val="2"/>
      </rPr>
      <t xml:space="preserve"> tab to validate your breakdown by track, phase &amp; by release.
11. Use the </t>
    </r>
    <r>
      <rPr>
        <i/>
        <sz val="10"/>
        <rFont val="Calibri"/>
        <family val="2"/>
      </rPr>
      <t>Total LOE</t>
    </r>
    <r>
      <rPr>
        <sz val="10"/>
        <rFont val="Calibri"/>
        <family val="2"/>
      </rPr>
      <t xml:space="preserve"> tab to understand your overall project estimate.</t>
    </r>
  </si>
  <si>
    <r>
      <t xml:space="preserve">• </t>
    </r>
    <r>
      <rPr>
        <b/>
        <sz val="10"/>
        <color indexed="8"/>
        <rFont val="Calibri"/>
        <family val="2"/>
      </rPr>
      <t>Project Overview</t>
    </r>
    <r>
      <rPr>
        <sz val="10"/>
        <color indexed="8"/>
        <rFont val="Calibri"/>
        <family val="2"/>
      </rPr>
      <t xml:space="preserve"> : Complete this sheet to identify basic data used to populate other sheets and headers. 
• </t>
    </r>
    <r>
      <rPr>
        <b/>
        <sz val="10"/>
        <color indexed="8"/>
        <rFont val="Calibri"/>
        <family val="2"/>
      </rPr>
      <t>Story Type</t>
    </r>
    <r>
      <rPr>
        <sz val="10"/>
        <color indexed="8"/>
        <rFont val="Calibri"/>
        <family val="2"/>
      </rPr>
      <t xml:space="preserve"> : Use this sheet as a worksheet to document metrics with assumptions and their tasks with LOE. Based on your situation, you may find it easier to either create these metrics first, or to first begin to document your stories, then create metrics. In any case, by the end of the process, you should have documented all the metrics you are using in this tab.
All LOE is measured in person days (1 person day = 8 hours of project work (including meetings, etc.). </t>
    </r>
    <r>
      <rPr>
        <b/>
        <sz val="10"/>
        <color indexed="8"/>
        <rFont val="Calibri"/>
        <family val="2"/>
      </rPr>
      <t>Metrics</t>
    </r>
    <r>
      <rPr>
        <sz val="10"/>
        <color indexed="8"/>
        <rFont val="Calibri"/>
        <family val="2"/>
      </rPr>
      <t xml:space="preserve"> section: A metric is a reusable estimate of a buildable unit. This documents all the metrics that can be used to drive the Stories estimate (it drives metric selection dropdowns on the Stories tab). 
• </t>
    </r>
    <r>
      <rPr>
        <b/>
        <sz val="10"/>
        <color indexed="8"/>
        <rFont val="Calibri"/>
        <family val="2"/>
      </rPr>
      <t>Stories</t>
    </r>
    <r>
      <rPr>
        <sz val="10"/>
        <color indexed="8"/>
        <rFont val="Calibri"/>
        <family val="2"/>
      </rPr>
      <t xml:space="preserve"> : Decompose each solution requirement into one or more stories. Embed knowledge risk by providing a range bounded by the ABP and HP estimates. Include all work necessary to advance the project, such as reviews, testing,  etc.  All LOE that does not contribute to the advancement of the project should be placed on the Add-ins tab.
A story should be:
* Understandable
* Testable
* Valuable
* Small enough to complete a handful each iteration
All LOE is measured in person days (1 person day = 8 hours of project work (including meetings, etc.).
• </t>
    </r>
    <r>
      <rPr>
        <b/>
        <sz val="10"/>
        <color indexed="8"/>
        <rFont val="Calibri"/>
        <family val="2"/>
      </rPr>
      <t>Add Ins</t>
    </r>
    <r>
      <rPr>
        <sz val="10"/>
        <color indexed="8"/>
        <rFont val="Calibri"/>
        <family val="2"/>
      </rPr>
      <t xml:space="preserve"> : Use this sheet to document all sources of LOE that do not directly or indirectly advance the progress towards delivering the scope. With the exception of Canada, vacation and sick days are not built into our daily rates, and hence you should build them into your estimate. For a T&amp;M project, vacation and sickness are not counted.
The mid-level plan will likely drive the contents of this sheet, as many items are dependent on the team size.
Items such as brief daily team meetings, Sapient staff meetings, and email are included in the core workday and do not need to be called out here. Code reviews and other peer-to-peer activities should be embedded in the ABP/ HP for the relevant activities as they act to move the project forward.
• </t>
    </r>
    <r>
      <rPr>
        <b/>
        <sz val="10"/>
        <color indexed="8"/>
        <rFont val="Calibri"/>
        <family val="2"/>
      </rPr>
      <t>Objective Risks</t>
    </r>
    <r>
      <rPr>
        <sz val="10"/>
        <color indexed="8"/>
        <rFont val="Calibri"/>
        <family val="2"/>
      </rPr>
      <t xml:space="preserve"> : Use this sheet to document ALL objective risks you have identified for this project. These are things that may happen and cause negative impact on the project. Capture details of all cases where you mitigate a risk by including mitigation LOE. When there is still a risk of impact despite mitigations, capture those here as a maximum impact and probability of occurrence: the product of these numbers gives a risk buffer to incorporate at proper points in the mid-level plan.
• </t>
    </r>
    <r>
      <rPr>
        <b/>
        <sz val="10"/>
        <color indexed="8"/>
        <rFont val="Calibri"/>
        <family val="2"/>
      </rPr>
      <t>Staffing Plan</t>
    </r>
    <r>
      <rPr>
        <sz val="10"/>
        <color indexed="8"/>
        <rFont val="Calibri"/>
        <family val="2"/>
      </rPr>
      <t xml:space="preserve"> : Enter data from your release plan onto this summary sheet to enable easier manipulation and export to the deal tool. Use DD-MON-YY date format. Start date MUST be a Monday. End date MUST be a Friday — the template will export INCORRECT information without this. If necessary, customize the view for presentation on another worksheet — P&amp;L report reads from this format. The Date cell is MANDATORY — the P&amp;L report will not work without this. Enter the total number of people necessary for each role.
T&amp;M resource plans should explicitly exclude vacation and other non-billable time on the Deal Sheet (not on this sheet).
• </t>
    </r>
    <r>
      <rPr>
        <b/>
        <sz val="10"/>
        <color indexed="8"/>
        <rFont val="Calibri"/>
        <family val="2"/>
      </rPr>
      <t>LOE Summar</t>
    </r>
    <r>
      <rPr>
        <sz val="10"/>
        <color indexed="8"/>
        <rFont val="Calibri"/>
        <family val="2"/>
      </rPr>
      <t>y : This tab will show you how you have balanced your staffing plan against the planned loe by track, phase &amp; release.  This is to ensure that you haven't balanced your staffing to your total loe disproportionally against the types of work.  For example to make sure you haven't staffed all your loe for both site development and qa to the qa track.  To ensure that this report is accurate please make sure to leverage the "track" column accurately on the stories, obective risks, add-ins and staffing plan tabs
All LOE is measured in person days (1 person day = 8 hours of project work (including meetings, etc.).
•</t>
    </r>
    <r>
      <rPr>
        <b/>
        <sz val="10"/>
        <color indexed="8"/>
        <rFont val="Calibri"/>
        <family val="2"/>
      </rPr>
      <t xml:space="preserve"> Total LOE</t>
    </r>
    <r>
      <rPr>
        <sz val="10"/>
        <color indexed="8"/>
        <rFont val="Calibri"/>
        <family val="2"/>
      </rPr>
      <t xml:space="preserve"> : This sheet is read-only and shows the breakdown of the LOE by component.
- Recommended Oversight is 10-18% of total.
- Recommended Objective Risk is 9-17% of total.
Compare the Total LOE to the total person days in the Resource Plan.</t>
    </r>
  </si>
  <si>
    <t>dsadsadsad</t>
  </si>
  <si>
    <t>(All)</t>
  </si>
  <si>
    <r>
      <t xml:space="preserve">• Have only one version of the estimation template open.  If multiple versions are open, some macros will not work properly.
• Do not insert or delete columns and do not change column headers specifically on the Stories and Staffing Plan tabs, as it will result in problems with exports to the ResultSpace Plan Tool and the Deal Tool.
• Ensure that the Multiplier values are whole numbers, as this is used as a story multiplier when exporting to the ResultSpace Plan tool.
• Ensure that the ABP and HP values are between 0.5 and 100 and are in increments of 0.25.
• To insert new rows in the Stories tab, do not use the standard insert row feature, use the custom "Insert Line with Formulas" option provided under the "SA function" menu. 
• Use the scratch columns in the Stories tab for sub-totals or any other calculations you need.
• Use the Notes field to document any assumptions you made when estimating a story.
• Make sure the Start Date of the project is a Monday, and the end date of the project is a Friday on the Staffing tab to ensure that correct information is exported.
• If you need to extend the timeline in the staffing tab, do not use the standard excel Insert Column feature, use the "Insert Week" button.
• If a person is playing both an oversight role as well as working on actual stories, the role should appear once with the approproiate allocation in the Overhead area and again in the Team area with the appropriate allocation.
</t>
    </r>
    <r>
      <rPr>
        <b/>
        <sz val="10"/>
        <rFont val="Calibri"/>
        <family val="2"/>
        <scheme val="minor"/>
      </rPr>
      <t>• Migrate Content feature will work only on blank Estimation Tool. The original file(to be migrated) needs to have identical columns as in the template for the migration to work
• Migration process takes approximately 1-2 mins so its recommended to save your files, before initiating migration</t>
    </r>
    <r>
      <rPr>
        <sz val="10"/>
        <rFont val="Calibri"/>
        <family val="2"/>
        <scheme val="minor"/>
      </rPr>
      <t xml:space="preserve">
• Migrate Content will migrate data and not the customized changes or any change in the formula</t>
    </r>
  </si>
  <si>
    <t>Category LOE Summary (Story LOE)</t>
  </si>
  <si>
    <t>Track LOE Summary by Phase (Story LOE)</t>
  </si>
  <si>
    <t>Specialist Legal</t>
  </si>
  <si>
    <t>Director Application  Management</t>
  </si>
  <si>
    <t>6.1.0</t>
  </si>
  <si>
    <t>• Macros must be enabled for this template to work correctly.
• You will be prompted to install the Analysis Toolpack if it is not already installed. This is required for the template to work correctly. Refer to instructions below for more information.
• Supported versions include Excel 2010 for Windows and Excel 2011(version 14.3.9 &amp; above) for Mac.
• This Estimation Tool is compatible with Deal Tool versions 2.0 and above</t>
  </si>
  <si>
    <t>UI Implementation for Rent List</t>
  </si>
  <si>
    <t>Requirement Analysis</t>
  </si>
  <si>
    <t>CAI Cycle 7 Stage I QA</t>
  </si>
  <si>
    <t>Backend Implementation for Rent List</t>
  </si>
  <si>
    <t>UI Implementation for Defaulter List</t>
  </si>
  <si>
    <t>Backend Implementation for Defaulter list</t>
  </si>
  <si>
    <t>List of Rent Application to Store Manager (Option to Accept / Reject Application to Store Manager)- UI</t>
  </si>
  <si>
    <t>UI Implementation</t>
  </si>
  <si>
    <t>List of Rent Application to Store Manager (Option to Accept / Reject Application to Store Manager)- Backend Implementation</t>
  </si>
  <si>
    <t>Backend Implementation</t>
  </si>
  <si>
    <t>Administrator - Miscellaneous Page Management - UI</t>
  </si>
  <si>
    <t>Administrator - Miscellaneous Page Management -- Backend</t>
  </si>
  <si>
    <t>Administrator - Rented Order Management
 - Return Update for an Order-UI</t>
  </si>
  <si>
    <t>Administrator - Report Management
 - Order List -UI Implementation</t>
  </si>
  <si>
    <t>Administrator - Report Management
 - Order List - Backend Implementation</t>
  </si>
  <si>
    <t>Administrator - Report Management - Defaulters List- UI</t>
  </si>
  <si>
    <t>Administrator - Report Management - Defaulters List-Backend Implementation</t>
  </si>
  <si>
    <t>Customer - Miscellaneous Page Management - UI</t>
  </si>
  <si>
    <t>Customer - Miscellaneous Page Management - Backend</t>
  </si>
  <si>
    <t>Administrator - Rented Order Management
 - Return Update for an Order-Backend</t>
  </si>
  <si>
    <t>Administrator - Inventory Management
- Inventory Summary Page Customizations- UI</t>
  </si>
  <si>
    <t>Administrator - Inventory Management
- Edit Book Details- UI</t>
  </si>
  <si>
    <t>Administrator - Inventory Management
- Edit Book Details- Backend Implementation</t>
  </si>
  <si>
    <t>Administrator - Inventory Management
- Delete Book Details- UI</t>
  </si>
  <si>
    <t>Administrator - Inventory Management
- Delete Book Details- Backend Implementation</t>
  </si>
  <si>
    <t>QA</t>
  </si>
  <si>
    <t>Test Case Design</t>
  </si>
  <si>
    <t>Test Case Execution</t>
  </si>
  <si>
    <t>Infra and data base management</t>
  </si>
  <si>
    <t>Understand requirement</t>
  </si>
  <si>
    <t>Integrate build to server</t>
  </si>
  <si>
    <t>UI designer</t>
  </si>
  <si>
    <t>Design Screens</t>
  </si>
  <si>
    <t>Site Dev</t>
  </si>
  <si>
    <t>Tech</t>
  </si>
  <si>
    <t>Infra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</si>
</sst>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dd\-mmm\-yyyy"/>
    <numFmt numFmtId="165" formatCode="_([$€]* #,##0.00_);_([$€]* \(#,##0.00\);_([$€]* &quot;-&quot;??_);_(@_)"/>
    <numFmt numFmtId="166" formatCode="[$-809]dd\-mmm\-yy;@"/>
    <numFmt numFmtId="167" formatCode="0.0"/>
    <numFmt numFmtId="168" formatCode="[$-409]d\-mmm\-yy;@"/>
  </numFmts>
  <fonts count="37" x14ac:knownFonts="1">
    <font>
      <sz val="12"/>
      <color theme="1"/>
      <name val="Calibri"/>
      <family val="2"/>
      <scheme val="minor"/>
    </font>
    <font>
      <u/>
      <sz val="12"/>
      <color theme="10"/>
      <name val="Calibri"/>
      <family val="2"/>
      <scheme val="minor"/>
    </font>
    <font>
      <u/>
      <sz val="12"/>
      <color theme="11"/>
      <name val="Calibri"/>
      <family val="2"/>
      <scheme val="minor"/>
    </font>
    <font>
      <sz val="10"/>
      <name val="Arial"/>
      <family val="2"/>
    </font>
    <font>
      <b/>
      <sz val="10"/>
      <name val="Arial"/>
      <family val="2"/>
    </font>
    <font>
      <sz val="8"/>
      <name val="SapientSansRegular"/>
    </font>
    <font>
      <b/>
      <sz val="10"/>
      <color theme="1"/>
      <name val="Calibri"/>
      <family val="2"/>
      <scheme val="minor"/>
    </font>
    <font>
      <sz val="10"/>
      <color theme="1"/>
      <name val="Calibri"/>
      <family val="2"/>
      <scheme val="minor"/>
    </font>
    <font>
      <b/>
      <sz val="16"/>
      <color rgb="FFFF0000"/>
      <name val="Calibri"/>
      <family val="2"/>
      <scheme val="minor"/>
    </font>
    <font>
      <b/>
      <sz val="12"/>
      <color theme="1"/>
      <name val="Calibri"/>
      <family val="2"/>
      <scheme val="minor"/>
    </font>
    <font>
      <b/>
      <sz val="12"/>
      <color rgb="FFFF0000"/>
      <name val="Calibri"/>
      <family val="2"/>
      <scheme val="minor"/>
    </font>
    <font>
      <sz val="8"/>
      <color indexed="81"/>
      <name val="Tahoma"/>
      <family val="2"/>
    </font>
    <font>
      <i/>
      <sz val="10"/>
      <color theme="1"/>
      <name val="Calibri"/>
      <family val="2"/>
      <scheme val="minor"/>
    </font>
    <font>
      <sz val="8"/>
      <color theme="1"/>
      <name val="Calibri"/>
      <family val="2"/>
      <scheme val="minor"/>
    </font>
    <font>
      <b/>
      <i/>
      <sz val="8"/>
      <color theme="0" tint="-4.9989318521683403E-2"/>
      <name val="Calibri"/>
      <family val="2"/>
      <scheme val="minor"/>
    </font>
    <font>
      <b/>
      <sz val="8"/>
      <color theme="1"/>
      <name val="Calibri"/>
      <family val="2"/>
      <scheme val="minor"/>
    </font>
    <font>
      <b/>
      <sz val="18"/>
      <color theme="1"/>
      <name val="Calibri"/>
      <family val="2"/>
      <scheme val="minor"/>
    </font>
    <font>
      <b/>
      <sz val="8"/>
      <color indexed="81"/>
      <name val="Tahoma"/>
      <family val="2"/>
    </font>
    <font>
      <sz val="12"/>
      <color rgb="FF000000"/>
      <name val="Calibri"/>
      <family val="2"/>
    </font>
    <font>
      <b/>
      <sz val="10"/>
      <color theme="1" tint="0.249977111117893"/>
      <name val="Calibri"/>
      <family val="2"/>
      <scheme val="minor"/>
    </font>
    <font>
      <b/>
      <sz val="10"/>
      <color rgb="FFFF0000"/>
      <name val="Calibri"/>
      <family val="2"/>
      <scheme val="minor"/>
    </font>
    <font>
      <sz val="12"/>
      <color rgb="FFFF0000"/>
      <name val="Calibri"/>
      <family val="2"/>
      <scheme val="minor"/>
    </font>
    <font>
      <b/>
      <sz val="10"/>
      <name val="Calibri"/>
      <family val="2"/>
      <scheme val="minor"/>
    </font>
    <font>
      <b/>
      <sz val="12"/>
      <name val="Calibri"/>
      <family val="2"/>
      <scheme val="minor"/>
    </font>
    <font>
      <sz val="10"/>
      <name val="Calibri"/>
      <family val="2"/>
      <scheme val="minor"/>
    </font>
    <font>
      <sz val="8"/>
      <name val="Tahoma"/>
      <family val="2"/>
    </font>
    <font>
      <sz val="10"/>
      <color indexed="8"/>
      <name val="Calibri"/>
      <family val="2"/>
    </font>
    <font>
      <b/>
      <sz val="10"/>
      <color indexed="8"/>
      <name val="Calibri"/>
      <family val="2"/>
    </font>
    <font>
      <sz val="10"/>
      <name val="Calibri"/>
      <family val="2"/>
    </font>
    <font>
      <i/>
      <sz val="10"/>
      <name val="Calibri"/>
      <family val="2"/>
    </font>
    <font>
      <b/>
      <sz val="10"/>
      <color rgb="FF000000"/>
      <name val="Calibri"/>
      <family val="2"/>
    </font>
    <font>
      <sz val="12"/>
      <color theme="1"/>
      <name val="Calibri"/>
      <family val="2"/>
      <scheme val="minor"/>
    </font>
    <font>
      <sz val="12"/>
      <color theme="0"/>
      <name val="Calibri"/>
      <family val="2"/>
      <scheme val="minor"/>
    </font>
    <font>
      <sz val="8"/>
      <color rgb="FFFF0000"/>
      <name val="Tahoma"/>
      <family val="2"/>
    </font>
    <font>
      <b/>
      <sz val="8"/>
      <name val="Tahoma"/>
      <family val="2"/>
    </font>
    <font>
      <sz val="12"/>
      <color theme="1"/>
      <name val="Webdings"/>
      <family val="1"/>
      <charset val="2"/>
    </font>
    <font>
      <b/>
      <sz val="12"/>
      <color rgb="FF000000"/>
      <name val="Webdings"/>
      <family val="1"/>
      <charset val="2"/>
    </font>
  </fonts>
  <fills count="18">
    <fill>
      <patternFill patternType="none"/>
    </fill>
    <fill>
      <patternFill patternType="gray125"/>
    </fill>
    <fill>
      <patternFill patternType="solid">
        <fgColor indexed="9"/>
        <bgColor indexed="64"/>
      </patternFill>
    </fill>
    <fill>
      <patternFill patternType="solid">
        <fgColor indexed="25"/>
        <bgColor indexed="64"/>
      </patternFill>
    </fill>
    <fill>
      <patternFill patternType="solid">
        <fgColor rgb="FFC0C0C0"/>
        <bgColor indexed="64"/>
      </patternFill>
    </fill>
    <fill>
      <patternFill patternType="solid">
        <fgColor rgb="FFFFFF99"/>
        <bgColor indexed="64"/>
      </patternFill>
    </fill>
    <fill>
      <patternFill patternType="solid">
        <fgColor rgb="FFFF0000"/>
        <bgColor indexed="64"/>
      </patternFill>
    </fill>
    <fill>
      <patternFill patternType="solid">
        <fgColor rgb="FFFFCC00"/>
        <bgColor indexed="64"/>
      </patternFill>
    </fill>
    <fill>
      <patternFill patternType="solid">
        <fgColor rgb="FFFF6600"/>
        <bgColor indexed="64"/>
      </patternFill>
    </fill>
    <fill>
      <patternFill patternType="solid">
        <fgColor rgb="FF00FF00"/>
        <bgColor indexed="64"/>
      </patternFill>
    </fill>
    <fill>
      <patternFill patternType="solid">
        <fgColor rgb="FFCC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rgb="FFDFE5E6"/>
        <bgColor indexed="64"/>
      </patternFill>
    </fill>
    <fill>
      <patternFill patternType="solid">
        <fgColor theme="9" tint="0.59999389629810485"/>
        <bgColor indexed="64"/>
      </patternFill>
    </fill>
  </fills>
  <borders count="218">
    <border>
      <left/>
      <right/>
      <top/>
      <bottom/>
      <diagonal/>
    </border>
    <border>
      <left/>
      <right/>
      <top style="hair">
        <color indexed="22"/>
      </top>
      <bottom style="hair">
        <color indexed="22"/>
      </bottom>
      <diagonal/>
    </border>
    <border>
      <left style="thin">
        <color indexed="26"/>
      </left>
      <right style="thin">
        <color indexed="26"/>
      </right>
      <top style="thin">
        <color indexed="26"/>
      </top>
      <bottom style="thin">
        <color indexed="26"/>
      </bottom>
      <diagonal/>
    </border>
    <border>
      <left style="thin">
        <color indexed="26"/>
      </left>
      <right style="thin">
        <color indexed="26"/>
      </right>
      <top style="thin">
        <color auto="1"/>
      </top>
      <bottom style="thin">
        <color indexed="10"/>
      </bottom>
      <diagonal/>
    </border>
    <border>
      <left style="thin">
        <color rgb="FFCCFFFF"/>
      </left>
      <right style="thin">
        <color auto="1"/>
      </right>
      <top/>
      <bottom/>
      <diagonal/>
    </border>
    <border>
      <left style="thin">
        <color rgb="FFCCFFFF"/>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style="thin">
        <color rgb="FFCCFFFF"/>
      </left>
      <right style="thin">
        <color auto="1"/>
      </right>
      <top style="thin">
        <color auto="1"/>
      </top>
      <bottom style="thin">
        <color auto="1"/>
      </bottom>
      <diagonal/>
    </border>
    <border>
      <left/>
      <right style="thin">
        <color rgb="FFCCFFFF"/>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theme="0" tint="-0.34998626667073579"/>
      </right>
      <top style="thin">
        <color auto="1"/>
      </top>
      <bottom style="thin">
        <color theme="0" tint="-0.14996795556505021"/>
      </bottom>
      <diagonal/>
    </border>
    <border>
      <left style="thin">
        <color auto="1"/>
      </left>
      <right style="thin">
        <color theme="0" tint="-0.34998626667073579"/>
      </right>
      <top style="thin">
        <color theme="0" tint="-0.14996795556505021"/>
      </top>
      <bottom style="thin">
        <color theme="0" tint="-0.14996795556505021"/>
      </bottom>
      <diagonal/>
    </border>
    <border>
      <left style="thin">
        <color auto="1"/>
      </left>
      <right style="thin">
        <color theme="0" tint="-0.34998626667073579"/>
      </right>
      <top/>
      <bottom style="thin">
        <color auto="1"/>
      </bottom>
      <diagonal/>
    </border>
    <border>
      <left/>
      <right style="thin">
        <color indexed="47"/>
      </right>
      <top style="thin">
        <color auto="1"/>
      </top>
      <bottom style="thin">
        <color theme="0" tint="-0.14996795556505021"/>
      </bottom>
      <diagonal/>
    </border>
    <border>
      <left style="thin">
        <color indexed="47"/>
      </left>
      <right style="thin">
        <color indexed="47"/>
      </right>
      <top style="thin">
        <color auto="1"/>
      </top>
      <bottom style="thin">
        <color theme="0" tint="-0.14996795556505021"/>
      </bottom>
      <diagonal/>
    </border>
    <border>
      <left/>
      <right style="thin">
        <color indexed="47"/>
      </right>
      <top style="thin">
        <color theme="0" tint="-0.14996795556505021"/>
      </top>
      <bottom style="thin">
        <color theme="0" tint="-0.14996795556505021"/>
      </bottom>
      <diagonal/>
    </border>
    <border>
      <left style="thin">
        <color indexed="47"/>
      </left>
      <right style="thin">
        <color indexed="47"/>
      </right>
      <top style="thin">
        <color theme="0" tint="-0.14996795556505021"/>
      </top>
      <bottom style="thin">
        <color theme="0" tint="-0.14996795556505021"/>
      </bottom>
      <diagonal/>
    </border>
    <border>
      <left/>
      <right style="thin">
        <color indexed="47"/>
      </right>
      <top/>
      <bottom style="thin">
        <color auto="1"/>
      </bottom>
      <diagonal/>
    </border>
    <border>
      <left style="thin">
        <color indexed="47"/>
      </left>
      <right style="thin">
        <color indexed="47"/>
      </right>
      <top/>
      <bottom style="thin">
        <color auto="1"/>
      </bottom>
      <diagonal/>
    </border>
    <border>
      <left style="thin">
        <color auto="1"/>
      </left>
      <right style="thin">
        <color theme="0" tint="-0.24994659260841701"/>
      </right>
      <top style="thin">
        <color auto="1"/>
      </top>
      <bottom style="thin">
        <color theme="0" tint="-0.14996795556505021"/>
      </bottom>
      <diagonal/>
    </border>
    <border>
      <left style="thin">
        <color auto="1"/>
      </left>
      <right style="thin">
        <color theme="0" tint="-0.24994659260841701"/>
      </right>
      <top style="thin">
        <color theme="0" tint="-0.14996795556505021"/>
      </top>
      <bottom style="thin">
        <color theme="0" tint="-0.14996795556505021"/>
      </bottom>
      <diagonal/>
    </border>
    <border>
      <left/>
      <right style="thin">
        <color auto="1"/>
      </right>
      <top style="thin">
        <color auto="1"/>
      </top>
      <bottom style="thin">
        <color theme="0" tint="-0.14996795556505021"/>
      </bottom>
      <diagonal/>
    </border>
    <border>
      <left/>
      <right style="thin">
        <color auto="1"/>
      </right>
      <top style="thin">
        <color theme="0" tint="-0.14996795556505021"/>
      </top>
      <bottom style="thin">
        <color theme="0" tint="-0.14996795556505021"/>
      </bottom>
      <diagonal/>
    </border>
    <border>
      <left/>
      <right style="thin">
        <color auto="1"/>
      </right>
      <top style="thin">
        <color theme="0" tint="-0.14996795556505021"/>
      </top>
      <bottom style="thin">
        <color auto="1"/>
      </bottom>
      <diagonal/>
    </border>
    <border>
      <left/>
      <right style="thin">
        <color auto="1"/>
      </right>
      <top style="thin">
        <color auto="1"/>
      </top>
      <bottom/>
      <diagonal/>
    </border>
    <border>
      <left/>
      <right style="thin">
        <color auto="1"/>
      </right>
      <top/>
      <bottom/>
      <diagonal/>
    </border>
    <border>
      <left style="thin">
        <color auto="1"/>
      </left>
      <right style="thin">
        <color theme="0" tint="-0.24994659260841701"/>
      </right>
      <top style="thin">
        <color theme="0" tint="-0.14996795556505021"/>
      </top>
      <bottom style="thin">
        <color auto="1"/>
      </bottom>
      <diagonal/>
    </border>
    <border>
      <left style="thin">
        <color auto="1"/>
      </left>
      <right style="thin">
        <color theme="0" tint="-0.249977111117893"/>
      </right>
      <top style="thin">
        <color auto="1"/>
      </top>
      <bottom style="thin">
        <color auto="1"/>
      </bottom>
      <diagonal/>
    </border>
    <border>
      <left style="thin">
        <color auto="1"/>
      </left>
      <right style="thin">
        <color auto="1"/>
      </right>
      <top style="thin">
        <color auto="1"/>
      </top>
      <bottom style="thin">
        <color theme="0" tint="-0.249977111117893"/>
      </bottom>
      <diagonal/>
    </border>
    <border>
      <left style="thin">
        <color auto="1"/>
      </left>
      <right/>
      <top style="thin">
        <color auto="1"/>
      </top>
      <bottom style="thin">
        <color theme="0" tint="-0.249977111117893"/>
      </bottom>
      <diagonal/>
    </border>
    <border>
      <left/>
      <right style="thin">
        <color auto="1"/>
      </right>
      <top style="thin">
        <color auto="1"/>
      </top>
      <bottom style="thin">
        <color theme="0" tint="-0.249977111117893"/>
      </bottom>
      <diagonal/>
    </border>
    <border>
      <left/>
      <right/>
      <top/>
      <bottom style="thin">
        <color theme="0" tint="-0.14999847407452621"/>
      </bottom>
      <diagonal/>
    </border>
    <border>
      <left/>
      <right style="thin">
        <color rgb="FFCCFFFF"/>
      </right>
      <top/>
      <bottom style="thin">
        <color theme="0" tint="-0.14999847407452621"/>
      </bottom>
      <diagonal/>
    </border>
    <border>
      <left style="thin">
        <color auto="1"/>
      </left>
      <right style="thin">
        <color theme="0" tint="-0.249977111117893"/>
      </right>
      <top style="thin">
        <color auto="1"/>
      </top>
      <bottom style="thin">
        <color theme="0" tint="-0.14999847407452621"/>
      </bottom>
      <diagonal/>
    </border>
    <border>
      <left style="thin">
        <color auto="1"/>
      </left>
      <right style="thin">
        <color theme="0" tint="-0.249977111117893"/>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auto="1"/>
      </right>
      <top style="thin">
        <color theme="0" tint="-0.14999847407452621"/>
      </top>
      <bottom style="thin">
        <color theme="0" tint="-0.14999847407452621"/>
      </bottom>
      <diagonal/>
    </border>
    <border>
      <left/>
      <right style="thin">
        <color auto="1"/>
      </right>
      <top/>
      <bottom style="thin">
        <color theme="0" tint="-0.14999847407452621"/>
      </bottom>
      <diagonal/>
    </border>
    <border>
      <left style="thin">
        <color auto="1"/>
      </left>
      <right style="thin">
        <color theme="0" tint="-0.249977111117893"/>
      </right>
      <top/>
      <bottom style="thin">
        <color auto="1"/>
      </bottom>
      <diagonal/>
    </border>
    <border>
      <left/>
      <right style="thin">
        <color theme="0" tint="-0.14999847407452621"/>
      </right>
      <top style="thin">
        <color auto="1"/>
      </top>
      <bottom style="thin">
        <color auto="1"/>
      </bottom>
      <diagonal/>
    </border>
    <border>
      <left style="thin">
        <color auto="1"/>
      </left>
      <right style="thin">
        <color theme="0" tint="-0.14999847407452621"/>
      </right>
      <top style="thin">
        <color auto="1"/>
      </top>
      <bottom style="thin">
        <color theme="0" tint="-0.249977111117893"/>
      </bottom>
      <diagonal/>
    </border>
    <border>
      <left style="thin">
        <color rgb="FFCCFFFF"/>
      </left>
      <right style="thin">
        <color theme="0" tint="-0.14999847407452621"/>
      </right>
      <top/>
      <bottom style="thin">
        <color theme="0" tint="-0.14999847407452621"/>
      </bottom>
      <diagonal/>
    </border>
    <border>
      <left style="thin">
        <color rgb="FFCCFFFF"/>
      </left>
      <right style="thin">
        <color theme="0" tint="-0.14999847407452621"/>
      </right>
      <top style="thin">
        <color theme="0" tint="-0.14999847407452621"/>
      </top>
      <bottom style="thin">
        <color theme="0" tint="-0.14999847407452621"/>
      </bottom>
      <diagonal/>
    </border>
    <border>
      <left style="thin">
        <color rgb="FFCCFFFF"/>
      </left>
      <right style="thin">
        <color theme="0" tint="-0.14999847407452621"/>
      </right>
      <top/>
      <bottom style="thin">
        <color auto="1"/>
      </bottom>
      <diagonal/>
    </border>
    <border>
      <left/>
      <right style="thin">
        <color theme="0" tint="-0.14999847407452621"/>
      </right>
      <top style="thin">
        <color auto="1"/>
      </top>
      <bottom style="thin">
        <color theme="0" tint="-0.249977111117893"/>
      </bottom>
      <diagonal/>
    </border>
    <border>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0" tint="-0.14999847407452621"/>
      </right>
      <top/>
      <bottom style="thin">
        <color auto="1"/>
      </bottom>
      <diagonal/>
    </border>
    <border>
      <left/>
      <right style="thin">
        <color theme="0" tint="-0.14999847407452621"/>
      </right>
      <top/>
      <bottom/>
      <diagonal/>
    </border>
    <border>
      <left style="thin">
        <color theme="0" tint="-0.249977111117893"/>
      </left>
      <right/>
      <top style="thin">
        <color theme="0" tint="-0.14999847407452621"/>
      </top>
      <bottom style="thin">
        <color theme="0" tint="-0.14999847407452621"/>
      </bottom>
      <diagonal/>
    </border>
    <border>
      <left/>
      <right/>
      <top style="thin">
        <color auto="1"/>
      </top>
      <bottom style="thin">
        <color theme="0" tint="-0.249977111117893"/>
      </bottom>
      <diagonal/>
    </border>
    <border>
      <left style="thin">
        <color auto="1"/>
      </left>
      <right style="thin">
        <color theme="0" tint="-0.14999847407452621"/>
      </right>
      <top style="thin">
        <color theme="0" tint="-0.14999847407452621"/>
      </top>
      <bottom style="thin">
        <color auto="1"/>
      </bottom>
      <diagonal/>
    </border>
    <border>
      <left style="thin">
        <color auto="1"/>
      </left>
      <right style="thin">
        <color theme="0" tint="-0.249977111117893"/>
      </right>
      <top style="thin">
        <color theme="0" tint="-0.14999847407452621"/>
      </top>
      <bottom style="thin">
        <color auto="1"/>
      </bottom>
      <diagonal/>
    </border>
    <border>
      <left/>
      <right style="thin">
        <color theme="0" tint="-0.14999847407452621"/>
      </right>
      <top style="thin">
        <color theme="0" tint="-0.14999847407452621"/>
      </top>
      <bottom style="thin">
        <color auto="1"/>
      </bottom>
      <diagonal/>
    </border>
    <border>
      <left style="thin">
        <color theme="0" tint="-0.14999847407452621"/>
      </left>
      <right style="thin">
        <color auto="1"/>
      </right>
      <top style="thin">
        <color auto="1"/>
      </top>
      <bottom style="thin">
        <color theme="0" tint="-0.249977111117893"/>
      </bottom>
      <diagonal/>
    </border>
    <border>
      <left style="thin">
        <color theme="0" tint="-0.14999847407452621"/>
      </left>
      <right style="thin">
        <color theme="0" tint="-0.14999847407452621"/>
      </right>
      <top style="thin">
        <color auto="1"/>
      </top>
      <bottom/>
      <diagonal/>
    </border>
    <border>
      <left style="thin">
        <color theme="0" tint="-0.14999847407452621"/>
      </left>
      <right style="thin">
        <color theme="0" tint="-0.14999847407452621"/>
      </right>
      <top style="thin">
        <color auto="1"/>
      </top>
      <bottom style="thin">
        <color theme="0" tint="-0.249977111117893"/>
      </bottom>
      <diagonal/>
    </border>
    <border>
      <left style="thin">
        <color theme="0" tint="-0.14999847407452621"/>
      </left>
      <right style="thin">
        <color theme="0" tint="-0.14999847407452621"/>
      </right>
      <top/>
      <bottom/>
      <diagonal/>
    </border>
    <border>
      <left style="thin">
        <color auto="1"/>
      </left>
      <right style="thin">
        <color theme="0" tint="-0.14999847407452621"/>
      </right>
      <top style="thin">
        <color auto="1"/>
      </top>
      <bottom style="thin">
        <color theme="0" tint="-0.14999847407452621"/>
      </bottom>
      <diagonal/>
    </border>
    <border>
      <left style="thin">
        <color theme="0" tint="-0.14999847407452621"/>
      </left>
      <right style="thin">
        <color theme="0" tint="-0.14999847407452621"/>
      </right>
      <top style="thin">
        <color auto="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auto="1"/>
      </top>
      <bottom/>
      <diagonal/>
    </border>
    <border>
      <left style="thin">
        <color auto="1"/>
      </left>
      <right style="thin">
        <color auto="1"/>
      </right>
      <top style="thin">
        <color theme="0" tint="-0.14999847407452621"/>
      </top>
      <bottom style="thin">
        <color theme="0" tint="-0.14999847407452621"/>
      </bottom>
      <diagonal/>
    </border>
    <border>
      <left style="thin">
        <color auto="1"/>
      </left>
      <right style="thin">
        <color theme="0" tint="-0.14999847407452621"/>
      </right>
      <top/>
      <bottom/>
      <diagonal/>
    </border>
    <border>
      <left style="thin">
        <color rgb="FFCCFFFF"/>
      </left>
      <right style="thin">
        <color theme="0" tint="-0.14999847407452621"/>
      </right>
      <top/>
      <bottom/>
      <diagonal/>
    </border>
    <border>
      <left style="thin">
        <color auto="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auto="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top/>
      <bottom style="thin">
        <color theme="0" tint="-0.14999847407452621"/>
      </bottom>
      <diagonal/>
    </border>
    <border>
      <left/>
      <right style="thin">
        <color theme="0" tint="-0.14999847407452621"/>
      </right>
      <top style="thin">
        <color rgb="FFCCFFFF"/>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diagonal/>
    </border>
    <border>
      <left style="thin">
        <color auto="1"/>
      </left>
      <right style="thin">
        <color theme="0" tint="-0.14999847407452621"/>
      </right>
      <top/>
      <bottom style="thin">
        <color theme="0" tint="-0.14999847407452621"/>
      </bottom>
      <diagonal/>
    </border>
    <border>
      <left style="thin">
        <color theme="0" tint="-0.14999847407452621"/>
      </left>
      <right style="thin">
        <color auto="1"/>
      </right>
      <top/>
      <bottom style="thin">
        <color theme="0" tint="-0.14999847407452621"/>
      </bottom>
      <diagonal/>
    </border>
    <border>
      <left style="thin">
        <color auto="1"/>
      </left>
      <right style="thin">
        <color rgb="FFCCFFFF"/>
      </right>
      <top/>
      <bottom style="thin">
        <color auto="1"/>
      </bottom>
      <diagonal/>
    </border>
    <border>
      <left/>
      <right style="thin">
        <color rgb="FFCCFFFF"/>
      </right>
      <top/>
      <bottom style="thin">
        <color auto="1"/>
      </bottom>
      <diagonal/>
    </border>
    <border>
      <left style="thin">
        <color rgb="FFCCFFFF"/>
      </left>
      <right style="thin">
        <color auto="1"/>
      </right>
      <top/>
      <bottom style="thin">
        <color theme="0" tint="-0.14999847407452621"/>
      </bottom>
      <diagonal/>
    </border>
    <border>
      <left style="thin">
        <color auto="1"/>
      </left>
      <right/>
      <top style="thin">
        <color theme="0" tint="-0.249977111117893"/>
      </top>
      <bottom style="thin">
        <color theme="0" tint="-0.14999847407452621"/>
      </bottom>
      <diagonal/>
    </border>
    <border>
      <left style="thin">
        <color rgb="FFCCFFFF"/>
      </left>
      <right style="thin">
        <color theme="0" tint="-0.14999847407452621"/>
      </right>
      <top style="thin">
        <color theme="0" tint="-0.249977111117893"/>
      </top>
      <bottom style="thin">
        <color theme="0" tint="-0.14999847407452621"/>
      </bottom>
      <diagonal/>
    </border>
    <border>
      <left/>
      <right/>
      <top style="thin">
        <color theme="0" tint="-0.249977111117893"/>
      </top>
      <bottom style="thin">
        <color theme="0" tint="-0.14999847407452621"/>
      </bottom>
      <diagonal/>
    </border>
    <border>
      <left style="thin">
        <color rgb="FFCCFFFF"/>
      </left>
      <right style="thin">
        <color auto="1"/>
      </right>
      <top style="thin">
        <color theme="0" tint="-0.249977111117893"/>
      </top>
      <bottom style="thin">
        <color theme="0" tint="-0.14999847407452621"/>
      </bottom>
      <diagonal/>
    </border>
    <border>
      <left style="thin">
        <color auto="1"/>
      </left>
      <right style="thin">
        <color theme="0" tint="-0.14999847407452621"/>
      </right>
      <top style="thin">
        <color auto="1"/>
      </top>
      <bottom style="thin">
        <color auto="1"/>
      </bottom>
      <diagonal/>
    </border>
    <border>
      <left style="thin">
        <color auto="1"/>
      </left>
      <right style="thin">
        <color theme="0" tint="-0.14999847407452621"/>
      </right>
      <top/>
      <bottom style="thin">
        <color auto="1"/>
      </bottom>
      <diagonal/>
    </border>
    <border>
      <left style="thin">
        <color auto="1"/>
      </left>
      <right style="thin">
        <color theme="0" tint="-0.14999847407452621"/>
      </right>
      <top style="thin">
        <color rgb="FFCCFFFF"/>
      </top>
      <bottom style="thin">
        <color theme="0" tint="-0.14999847407452621"/>
      </bottom>
      <diagonal/>
    </border>
    <border>
      <left/>
      <right style="thin">
        <color rgb="FFCCFFFF"/>
      </right>
      <top style="thin">
        <color theme="0" tint="-0.14999847407452621"/>
      </top>
      <bottom style="thin">
        <color theme="0" tint="-0.14999847407452621"/>
      </bottom>
      <diagonal/>
    </border>
    <border>
      <left style="thin">
        <color rgb="FFCCFFFF"/>
      </left>
      <right style="thin">
        <color auto="1"/>
      </right>
      <top style="thin">
        <color theme="0" tint="-0.14999847407452621"/>
      </top>
      <bottom style="thin">
        <color theme="0" tint="-0.14999847407452621"/>
      </bottom>
      <diagonal/>
    </border>
    <border>
      <left/>
      <right style="thin">
        <color auto="1"/>
      </right>
      <top/>
      <bottom style="thin">
        <color auto="1"/>
      </bottom>
      <diagonal/>
    </border>
    <border>
      <left/>
      <right style="thin">
        <color theme="0" tint="-0.249977111117893"/>
      </right>
      <top style="thin">
        <color auto="1"/>
      </top>
      <bottom style="thin">
        <color auto="1"/>
      </bottom>
      <diagonal/>
    </border>
    <border>
      <left style="thin">
        <color theme="0" tint="-0.14999847407452621"/>
      </left>
      <right style="thin">
        <color theme="0" tint="-0.14999847407452621"/>
      </right>
      <top style="thin">
        <color theme="0" tint="-0.14999847407452621"/>
      </top>
      <bottom style="thin">
        <color auto="1"/>
      </bottom>
      <diagonal/>
    </border>
    <border>
      <left style="thin">
        <color theme="0" tint="-0.14999847407452621"/>
      </left>
      <right style="thin">
        <color theme="0" tint="-0.14999847407452621"/>
      </right>
      <top/>
      <bottom style="thin">
        <color auto="1"/>
      </bottom>
      <diagonal/>
    </border>
    <border>
      <left style="thin">
        <color theme="0" tint="-0.14999847407452621"/>
      </left>
      <right style="thin">
        <color rgb="FFCCFFFF"/>
      </right>
      <top style="thin">
        <color theme="0" tint="-0.14999847407452621"/>
      </top>
      <bottom style="thin">
        <color theme="0" tint="-0.14999847407452621"/>
      </bottom>
      <diagonal/>
    </border>
    <border>
      <left/>
      <right style="thin">
        <color auto="1"/>
      </right>
      <top style="thin">
        <color theme="0" tint="-0.249977111117893"/>
      </top>
      <bottom style="thin">
        <color theme="0" tint="-0.14999847407452621"/>
      </bottom>
      <diagonal/>
    </border>
    <border>
      <left style="thin">
        <color auto="1"/>
      </left>
      <right style="thin">
        <color theme="0" tint="-0.14999847407452621"/>
      </right>
      <top style="thin">
        <color theme="0" tint="-0.249977111117893"/>
      </top>
      <bottom style="thin">
        <color theme="0" tint="-0.14999847407452621"/>
      </bottom>
      <diagonal/>
    </border>
    <border>
      <left/>
      <right/>
      <top style="thin">
        <color auto="1"/>
      </top>
      <bottom/>
      <diagonal/>
    </border>
    <border>
      <left style="thin">
        <color auto="1"/>
      </left>
      <right style="thin">
        <color auto="1"/>
      </right>
      <top/>
      <bottom style="thin">
        <color theme="0" tint="-0.14999847407452621"/>
      </bottom>
      <diagonal/>
    </border>
    <border>
      <left/>
      <right style="thin">
        <color rgb="FFCCFFFF"/>
      </right>
      <top style="thin">
        <color auto="1"/>
      </top>
      <bottom style="thin">
        <color auto="1"/>
      </bottom>
      <diagonal/>
    </border>
    <border>
      <left style="thin">
        <color rgb="FFCCFFFF"/>
      </left>
      <right style="thin">
        <color theme="0" tint="-0.14999847407452621"/>
      </right>
      <top style="thin">
        <color auto="1"/>
      </top>
      <bottom style="thin">
        <color auto="1"/>
      </bottom>
      <diagonal/>
    </border>
    <border>
      <left style="thin">
        <color theme="0" tint="-0.14999847407452621"/>
      </left>
      <right style="thin">
        <color rgb="FFCCFFFF"/>
      </right>
      <top style="thin">
        <color auto="1"/>
      </top>
      <bottom style="thin">
        <color auto="1"/>
      </bottom>
      <diagonal/>
    </border>
    <border>
      <left style="thin">
        <color theme="0" tint="-0.14999847407452621"/>
      </left>
      <right/>
      <top style="thin">
        <color auto="1"/>
      </top>
      <bottom style="thin">
        <color auto="1"/>
      </bottom>
      <diagonal/>
    </border>
    <border>
      <left style="thin">
        <color theme="0" tint="-0.14999847407452621"/>
      </left>
      <right style="thin">
        <color auto="1"/>
      </right>
      <top style="thin">
        <color auto="1"/>
      </top>
      <bottom style="thin">
        <color auto="1"/>
      </bottom>
      <diagonal/>
    </border>
    <border>
      <left style="thin">
        <color theme="0" tint="-0.14999847407452621"/>
      </left>
      <right style="thin">
        <color theme="0" tint="-0.14999847407452621"/>
      </right>
      <top style="thin">
        <color auto="1"/>
      </top>
      <bottom style="thin">
        <color auto="1"/>
      </bottom>
      <diagonal/>
    </border>
    <border>
      <left style="thin">
        <color theme="0" tint="-0.14999847407452621"/>
      </left>
      <right style="thin">
        <color auto="1"/>
      </right>
      <top style="thin">
        <color theme="0" tint="-0.14999847407452621"/>
      </top>
      <bottom/>
      <diagonal/>
    </border>
    <border>
      <left style="thin">
        <color auto="1"/>
      </left>
      <right style="thin">
        <color auto="1"/>
      </right>
      <top/>
      <bottom/>
      <diagonal/>
    </border>
    <border>
      <left style="thin">
        <color auto="1"/>
      </left>
      <right style="thin">
        <color theme="0" tint="-0.14999847407452621"/>
      </right>
      <top/>
      <bottom style="thin">
        <color theme="0" tint="-0.249977111117893"/>
      </bottom>
      <diagonal/>
    </border>
    <border>
      <left style="thin">
        <color theme="0" tint="-0.14999847407452621"/>
      </left>
      <right style="thin">
        <color theme="0" tint="-0.14999847407452621"/>
      </right>
      <top/>
      <bottom style="thin">
        <color theme="0" tint="-0.249977111117893"/>
      </bottom>
      <diagonal/>
    </border>
    <border>
      <left/>
      <right style="thin">
        <color theme="0" tint="-0.14999847407452621"/>
      </right>
      <top/>
      <bottom style="thin">
        <color theme="0" tint="-0.249977111117893"/>
      </bottom>
      <diagonal/>
    </border>
    <border>
      <left/>
      <right style="thin">
        <color auto="1"/>
      </right>
      <top/>
      <bottom style="thin">
        <color theme="0" tint="-0.249977111117893"/>
      </bottom>
      <diagonal/>
    </border>
    <border>
      <left style="thin">
        <color auto="1"/>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auto="1"/>
      </right>
      <top style="thin">
        <color theme="0" tint="-0.249977111117893"/>
      </top>
      <bottom style="thin">
        <color theme="0" tint="-0.249977111117893"/>
      </bottom>
      <diagonal/>
    </border>
    <border>
      <left style="thin">
        <color auto="1"/>
      </left>
      <right style="thin">
        <color auto="1"/>
      </right>
      <top style="thin">
        <color theme="0" tint="-0.14999847407452621"/>
      </top>
      <bottom/>
      <diagonal/>
    </border>
    <border>
      <left/>
      <right style="thin">
        <color auto="1"/>
      </right>
      <top style="thin">
        <color auto="1"/>
      </top>
      <bottom style="thin">
        <color theme="0" tint="-0.14999847407452621"/>
      </bottom>
      <diagonal/>
    </border>
    <border>
      <left style="thin">
        <color theme="0" tint="-0.14999847407452621"/>
      </left>
      <right style="thin">
        <color auto="1"/>
      </right>
      <top style="thin">
        <color auto="1"/>
      </top>
      <bottom/>
      <diagonal/>
    </border>
    <border>
      <left style="thin">
        <color auto="1"/>
      </left>
      <right style="thin">
        <color theme="0" tint="-0.249977111117893"/>
      </right>
      <top/>
      <bottom/>
      <diagonal/>
    </border>
    <border>
      <left style="thin">
        <color theme="0" tint="-0.249977111117893"/>
      </left>
      <right/>
      <top style="thin">
        <color theme="0" tint="-0.249977111117893"/>
      </top>
      <bottom style="thin">
        <color theme="0" tint="-0.249977111117893"/>
      </bottom>
      <diagonal/>
    </border>
    <border>
      <left style="thin">
        <color auto="1"/>
      </left>
      <right style="thin">
        <color theme="0" tint="-0.249977111117893"/>
      </right>
      <top style="thin">
        <color auto="1"/>
      </top>
      <bottom/>
      <diagonal/>
    </border>
    <border>
      <left style="thin">
        <color theme="0" tint="-0.14999847407452621"/>
      </left>
      <right style="thin">
        <color auto="1"/>
      </right>
      <top style="thin">
        <color theme="0" tint="-0.249977111117893"/>
      </top>
      <bottom style="thin">
        <color auto="1"/>
      </bottom>
      <diagonal/>
    </border>
    <border>
      <left style="thin">
        <color theme="0" tint="-0.14999847407452621"/>
      </left>
      <right/>
      <top style="thin">
        <color theme="0" tint="-0.249977111117893"/>
      </top>
      <bottom style="thin">
        <color auto="1"/>
      </bottom>
      <diagonal/>
    </border>
    <border>
      <left style="thin">
        <color theme="0" tint="-0.249977111117893"/>
      </left>
      <right style="thin">
        <color theme="0" tint="-0.14999847407452621"/>
      </right>
      <top style="thin">
        <color auto="1"/>
      </top>
      <bottom/>
      <diagonal/>
    </border>
    <border>
      <left style="thin">
        <color theme="0" tint="-0.249977111117893"/>
      </left>
      <right style="thin">
        <color theme="0" tint="-0.14999847407452621"/>
      </right>
      <top style="thin">
        <color theme="0" tint="-0.14999847407452621"/>
      </top>
      <bottom/>
      <diagonal/>
    </border>
    <border>
      <left style="thin">
        <color theme="0" tint="-0.249977111117893"/>
      </left>
      <right/>
      <top style="thin">
        <color theme="0" tint="-0.14999847407452621"/>
      </top>
      <bottom style="thin">
        <color auto="1"/>
      </bottom>
      <diagonal/>
    </border>
    <border>
      <left style="thin">
        <color theme="0" tint="-0.14999847407452621"/>
      </left>
      <right style="thin">
        <color auto="1"/>
      </right>
      <top/>
      <bottom style="thin">
        <color auto="1"/>
      </bottom>
      <diagonal/>
    </border>
    <border>
      <left style="thin">
        <color theme="0" tint="-0.249977111117893"/>
      </left>
      <right/>
      <top style="thin">
        <color auto="1"/>
      </top>
      <bottom style="thin">
        <color auto="1"/>
      </bottom>
      <diagonal/>
    </border>
    <border>
      <left style="thin">
        <color theme="0" tint="-0.249977111117893"/>
      </left>
      <right style="thin">
        <color auto="1"/>
      </right>
      <top style="thin">
        <color theme="0" tint="-0.14999847407452621"/>
      </top>
      <bottom style="thin">
        <color auto="1"/>
      </bottom>
      <diagonal/>
    </border>
    <border>
      <left style="thin">
        <color theme="0" tint="-0.249977111117893"/>
      </left>
      <right style="thin">
        <color auto="1"/>
      </right>
      <top style="thin">
        <color auto="1"/>
      </top>
      <bottom style="thin">
        <color theme="0" tint="-0.14999847407452621"/>
      </bottom>
      <diagonal/>
    </border>
    <border>
      <left style="thin">
        <color auto="1"/>
      </left>
      <right/>
      <top style="thin">
        <color theme="0" tint="-0.14999847407452621"/>
      </top>
      <bottom/>
      <diagonal/>
    </border>
    <border>
      <left style="thin">
        <color auto="1"/>
      </left>
      <right style="thin">
        <color theme="0" tint="-0.14999847407452621"/>
      </right>
      <top style="thin">
        <color theme="0" tint="-0.14999847407452621"/>
      </top>
      <bottom/>
      <diagonal/>
    </border>
    <border>
      <left style="thin">
        <color theme="0" tint="-0.14999847407452621"/>
      </left>
      <right style="thin">
        <color auto="1"/>
      </right>
      <top style="thin">
        <color theme="0" tint="-0.14999847407452621"/>
      </top>
      <bottom style="thin">
        <color auto="1"/>
      </bottom>
      <diagonal/>
    </border>
    <border>
      <left/>
      <right/>
      <top/>
      <bottom style="thin">
        <color theme="0" tint="-0.249977111117893"/>
      </bottom>
      <diagonal/>
    </border>
    <border>
      <left style="thin">
        <color rgb="FFCCFFFF"/>
      </left>
      <right style="thin">
        <color theme="0" tint="-0.14999847407452621"/>
      </right>
      <top style="thin">
        <color theme="0" tint="-0.14996795556505021"/>
      </top>
      <bottom style="thin">
        <color theme="0" tint="-0.14996795556505021"/>
      </bottom>
      <diagonal/>
    </border>
    <border>
      <left style="thin">
        <color theme="0" tint="-0.14999847407452621"/>
      </left>
      <right style="thin">
        <color theme="0" tint="-0.14999847407452621"/>
      </right>
      <top style="thin">
        <color theme="0" tint="-0.14996795556505021"/>
      </top>
      <bottom style="thin">
        <color theme="0" tint="-0.14996795556505021"/>
      </bottom>
      <diagonal/>
    </border>
    <border>
      <left/>
      <right style="thin">
        <color theme="0" tint="-0.14999847407452621"/>
      </right>
      <top style="thin">
        <color theme="0" tint="-0.14996795556505021"/>
      </top>
      <bottom style="thin">
        <color theme="0" tint="-0.14996795556505021"/>
      </bottom>
      <diagonal/>
    </border>
    <border>
      <left/>
      <right style="thin">
        <color rgb="FFCCFFFF"/>
      </right>
      <top style="thin">
        <color theme="0" tint="-0.14996795556505021"/>
      </top>
      <bottom style="thin">
        <color theme="0" tint="-0.14996795556505021"/>
      </bottom>
      <diagonal/>
    </border>
    <border>
      <left/>
      <right style="thin">
        <color auto="1"/>
      </right>
      <top style="thin">
        <color auto="1"/>
      </top>
      <bottom style="thin">
        <color auto="1"/>
      </bottom>
      <diagonal/>
    </border>
    <border>
      <left style="thin">
        <color auto="1"/>
      </left>
      <right/>
      <top style="thin">
        <color theme="0" tint="-0.14999847407452621"/>
      </top>
      <bottom style="thin">
        <color theme="0" tint="-0.1499984740745262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theme="0" tint="-0.14999847407452621"/>
      </right>
      <top style="thin">
        <color auto="1"/>
      </top>
      <bottom style="thin">
        <color theme="0" tint="-0.249977111117893"/>
      </bottom>
      <diagonal/>
    </border>
    <border>
      <left style="thin">
        <color auto="1"/>
      </left>
      <right/>
      <top style="thin">
        <color theme="0" tint="-0.249977111117893"/>
      </top>
      <bottom style="thin">
        <color theme="0" tint="-0.249977111117893"/>
      </bottom>
      <diagonal/>
    </border>
    <border>
      <left style="thin">
        <color auto="1"/>
      </left>
      <right style="thin">
        <color auto="1"/>
      </right>
      <top style="thin">
        <color theme="0" tint="-0.249977111117893"/>
      </top>
      <bottom style="thin">
        <color theme="0" tint="-0.249977111117893"/>
      </bottom>
      <diagonal/>
    </border>
    <border>
      <left style="thin">
        <color auto="1"/>
      </left>
      <right/>
      <top style="thin">
        <color auto="1"/>
      </top>
      <bottom/>
      <diagonal/>
    </border>
    <border>
      <left/>
      <right style="thin">
        <color auto="1"/>
      </right>
      <top style="thin">
        <color auto="1"/>
      </top>
      <bottom/>
      <diagonal/>
    </border>
    <border>
      <left style="thin">
        <color indexed="47"/>
      </left>
      <right style="thin">
        <color auto="1"/>
      </right>
      <top style="thin">
        <color auto="1"/>
      </top>
      <bottom style="thin">
        <color theme="0" tint="-0.14996795556505021"/>
      </bottom>
      <diagonal/>
    </border>
    <border>
      <left style="thin">
        <color indexed="47"/>
      </left>
      <right style="thin">
        <color auto="1"/>
      </right>
      <top style="thin">
        <color theme="0" tint="-0.14996795556505021"/>
      </top>
      <bottom style="thin">
        <color theme="0" tint="-0.14996795556505021"/>
      </bottom>
      <diagonal/>
    </border>
    <border>
      <left style="thin">
        <color indexed="47"/>
      </left>
      <right style="thin">
        <color auto="1"/>
      </right>
      <top/>
      <bottom style="thin">
        <color auto="1"/>
      </bottom>
      <diagonal/>
    </border>
    <border>
      <left style="thin">
        <color theme="0" tint="-0.14999847407452621"/>
      </left>
      <right style="thin">
        <color theme="0" tint="-0.14999847407452621"/>
      </right>
      <top style="thin">
        <color auto="1"/>
      </top>
      <bottom style="thin">
        <color theme="0" tint="-0.249977111117893"/>
      </bottom>
      <diagonal/>
    </border>
    <border>
      <left/>
      <right style="thin">
        <color theme="0" tint="-0.14999847407452621"/>
      </right>
      <top style="thin">
        <color auto="1"/>
      </top>
      <bottom style="thin">
        <color theme="0" tint="-0.249977111117893"/>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auto="1"/>
      </top>
      <bottom style="thin">
        <color theme="0" tint="-0.249977111117893"/>
      </bottom>
      <diagonal/>
    </border>
    <border>
      <left style="thin">
        <color theme="0" tint="-0.14999847407452621"/>
      </left>
      <right style="thin">
        <color theme="0" tint="-0.14996795556505021"/>
      </right>
      <top style="thin">
        <color auto="1"/>
      </top>
      <bottom/>
      <diagonal/>
    </border>
    <border>
      <left/>
      <right style="thin">
        <color theme="0" tint="-0.249977111117893"/>
      </right>
      <top style="thin">
        <color auto="1"/>
      </top>
      <bottom style="thin">
        <color theme="0" tint="-0.249977111117893"/>
      </bottom>
      <diagonal/>
    </border>
    <border>
      <left style="thin">
        <color theme="0" tint="-0.14999847407452621"/>
      </left>
      <right style="thin">
        <color theme="0" tint="-0.249977111117893"/>
      </right>
      <top style="thin">
        <color auto="1"/>
      </top>
      <bottom style="thin">
        <color auto="1"/>
      </bottom>
      <diagonal/>
    </border>
    <border>
      <left style="thin">
        <color theme="0" tint="-0.14999847407452621"/>
      </left>
      <right/>
      <top style="thin">
        <color auto="1"/>
      </top>
      <bottom/>
      <diagonal/>
    </border>
    <border>
      <left style="thin">
        <color theme="0" tint="-0.14999847407452621"/>
      </left>
      <right style="thin">
        <color theme="0" tint="-0.14996795556505021"/>
      </right>
      <top style="thin">
        <color theme="0" tint="-0.249977111117893"/>
      </top>
      <bottom style="thin">
        <color theme="0" tint="-0.14999847407452621"/>
      </bottom>
      <diagonal/>
    </border>
    <border>
      <left style="thin">
        <color theme="0" tint="-0.14999847407452621"/>
      </left>
      <right style="thin">
        <color theme="0" tint="-0.14996795556505021"/>
      </right>
      <top style="thin">
        <color theme="0" tint="-0.14999847407452621"/>
      </top>
      <bottom style="thin">
        <color theme="0" tint="-0.14999847407452621"/>
      </bottom>
      <diagonal/>
    </border>
    <border>
      <left style="thin">
        <color theme="0" tint="-0.14999847407452621"/>
      </left>
      <right style="thin">
        <color theme="0" tint="-0.14996795556505021"/>
      </right>
      <top/>
      <bottom style="thin">
        <color theme="0" tint="-0.14999847407452621"/>
      </bottom>
      <diagonal/>
    </border>
    <border>
      <left style="thin">
        <color theme="0" tint="-0.14999847407452621"/>
      </left>
      <right style="thin">
        <color theme="0" tint="-0.14996795556505021"/>
      </right>
      <top/>
      <bottom style="thin">
        <color auto="1"/>
      </bottom>
      <diagonal/>
    </border>
    <border>
      <left style="thin">
        <color theme="0" tint="-0.14999847407452621"/>
      </left>
      <right style="thin">
        <color theme="0" tint="-0.14996795556505021"/>
      </right>
      <top/>
      <bottom/>
      <diagonal/>
    </border>
    <border>
      <left style="thin">
        <color auto="1"/>
      </left>
      <right style="thin">
        <color theme="0" tint="-0.14999847407452621"/>
      </right>
      <top style="thin">
        <color auto="1"/>
      </top>
      <bottom/>
      <diagonal/>
    </border>
    <border>
      <left style="thin">
        <color theme="1"/>
      </left>
      <right style="thin">
        <color theme="0" tint="-0.14996795556505021"/>
      </right>
      <top style="thin">
        <color theme="1"/>
      </top>
      <bottom style="thin">
        <color theme="0" tint="-0.14996795556505021"/>
      </bottom>
      <diagonal/>
    </border>
    <border>
      <left style="thin">
        <color theme="0" tint="-0.14996795556505021"/>
      </left>
      <right style="thin">
        <color theme="0" tint="-0.14996795556505021"/>
      </right>
      <top style="thin">
        <color theme="1"/>
      </top>
      <bottom style="thin">
        <color theme="0" tint="-0.14996795556505021"/>
      </bottom>
      <diagonal/>
    </border>
    <border>
      <left style="thin">
        <color theme="0" tint="-0.14996795556505021"/>
      </left>
      <right style="thin">
        <color theme="1"/>
      </right>
      <top style="thin">
        <color theme="1"/>
      </top>
      <bottom style="thin">
        <color theme="0" tint="-0.14996795556505021"/>
      </bottom>
      <diagonal/>
    </border>
    <border>
      <left style="thin">
        <color theme="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right>
      <top style="thin">
        <color theme="0" tint="-0.14996795556505021"/>
      </top>
      <bottom style="thin">
        <color theme="0" tint="-0.14996795556505021"/>
      </bottom>
      <diagonal/>
    </border>
    <border>
      <left style="thin">
        <color theme="1"/>
      </left>
      <right style="thin">
        <color theme="0" tint="-0.14996795556505021"/>
      </right>
      <top style="thin">
        <color theme="0" tint="-0.14996795556505021"/>
      </top>
      <bottom style="thin">
        <color theme="1"/>
      </bottom>
      <diagonal/>
    </border>
    <border>
      <left style="thin">
        <color theme="0" tint="-0.14996795556505021"/>
      </left>
      <right style="thin">
        <color theme="0" tint="-0.14996795556505021"/>
      </right>
      <top style="thin">
        <color theme="0" tint="-0.14996795556505021"/>
      </top>
      <bottom style="thin">
        <color theme="1"/>
      </bottom>
      <diagonal/>
    </border>
    <border>
      <left style="thin">
        <color theme="0" tint="-0.14996795556505021"/>
      </left>
      <right style="thin">
        <color theme="1"/>
      </right>
      <top style="thin">
        <color theme="0" tint="-0.14996795556505021"/>
      </top>
      <bottom style="thin">
        <color theme="1"/>
      </bottom>
      <diagonal/>
    </border>
    <border>
      <left style="thin">
        <color auto="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auto="1"/>
      </right>
      <top style="thin">
        <color theme="0" tint="-0.14996795556505021"/>
      </top>
      <bottom style="thin">
        <color theme="0" tint="-0.14996795556505021"/>
      </bottom>
      <diagonal/>
    </border>
    <border>
      <left style="thin">
        <color auto="1"/>
      </left>
      <right style="thin">
        <color theme="0" tint="-0.14996795556505021"/>
      </right>
      <top style="thin">
        <color theme="0" tint="-0.14996795556505021"/>
      </top>
      <bottom style="thin">
        <color auto="1"/>
      </bottom>
      <diagonal/>
    </border>
    <border>
      <left style="thin">
        <color theme="0" tint="-0.14996795556505021"/>
      </left>
      <right style="thin">
        <color theme="0" tint="-0.14996795556505021"/>
      </right>
      <top style="thin">
        <color theme="0" tint="-0.14996795556505021"/>
      </top>
      <bottom style="thin">
        <color auto="1"/>
      </bottom>
      <diagonal/>
    </border>
    <border>
      <left style="thin">
        <color theme="0" tint="-0.14996795556505021"/>
      </left>
      <right style="thin">
        <color auto="1"/>
      </right>
      <top style="thin">
        <color theme="0" tint="-0.14996795556505021"/>
      </top>
      <bottom style="thin">
        <color auto="1"/>
      </bottom>
      <diagonal/>
    </border>
    <border>
      <left style="thin">
        <color theme="0" tint="-0.14996795556505021"/>
      </left>
      <right style="thin">
        <color theme="0" tint="-0.14993743705557422"/>
      </right>
      <top style="thin">
        <color theme="0" tint="-0.249977111117893"/>
      </top>
      <bottom style="thin">
        <color theme="0" tint="-0.14993743705557422"/>
      </bottom>
      <diagonal/>
    </border>
    <border>
      <left style="thin">
        <color theme="0" tint="-0.14993743705557422"/>
      </left>
      <right style="thin">
        <color auto="1"/>
      </right>
      <top style="thin">
        <color theme="0" tint="-0.249977111117893"/>
      </top>
      <bottom style="thin">
        <color theme="0" tint="-0.14993743705557422"/>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auto="1"/>
      </right>
      <top style="thin">
        <color theme="0" tint="-0.14993743705557422"/>
      </top>
      <bottom style="thin">
        <color theme="0" tint="-0.14993743705557422"/>
      </bottom>
      <diagonal/>
    </border>
    <border>
      <left style="thin">
        <color theme="0" tint="-0.14996795556505021"/>
      </left>
      <right style="thin">
        <color theme="0" tint="-0.14993743705557422"/>
      </right>
      <top style="thin">
        <color theme="0" tint="-0.14993743705557422"/>
      </top>
      <bottom style="thin">
        <color auto="1"/>
      </bottom>
      <diagonal/>
    </border>
    <border>
      <left style="thin">
        <color theme="0" tint="-0.14993743705557422"/>
      </left>
      <right style="thin">
        <color auto="1"/>
      </right>
      <top style="thin">
        <color theme="0" tint="-0.14993743705557422"/>
      </top>
      <bottom style="thin">
        <color auto="1"/>
      </bottom>
      <diagonal/>
    </border>
    <border>
      <left style="thin">
        <color auto="1"/>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auto="1"/>
      </right>
      <top/>
      <bottom style="thin">
        <color theme="0" tint="-0.1499679555650502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theme="0" tint="-0.14996795556505021"/>
      </left>
      <right style="thin">
        <color theme="0" tint="-0.14996795556505021"/>
      </right>
      <top style="thin">
        <color theme="0" tint="-0.24994659260841701"/>
      </top>
      <bottom style="thin">
        <color theme="0" tint="-0.24994659260841701"/>
      </bottom>
      <diagonal/>
    </border>
    <border>
      <left style="thin">
        <color theme="0" tint="-0.14996795556505021"/>
      </left>
      <right style="thin">
        <color auto="1"/>
      </right>
      <top style="thin">
        <color theme="0" tint="-0.24994659260841701"/>
      </top>
      <bottom style="thin">
        <color theme="0" tint="-0.24994659260841701"/>
      </bottom>
      <diagonal/>
    </border>
    <border>
      <left style="thin">
        <color auto="1"/>
      </left>
      <right style="thin">
        <color auto="1"/>
      </right>
      <top/>
      <bottom style="thin">
        <color auto="1"/>
      </bottom>
      <diagonal/>
    </border>
    <border>
      <left style="thin">
        <color auto="1"/>
      </left>
      <right style="thin">
        <color theme="0" tint="-0.14999847407452621"/>
      </right>
      <top style="thin">
        <color theme="0" tint="-0.14996795556505021"/>
      </top>
      <bottom style="thin">
        <color theme="0" tint="-0.14996795556505021"/>
      </bottom>
      <diagonal/>
    </border>
    <border>
      <left style="thin">
        <color theme="0" tint="-0.14996795556505021"/>
      </left>
      <right style="thin">
        <color theme="0" tint="-0.14993743705557422"/>
      </right>
      <top/>
      <bottom style="thin">
        <color theme="0" tint="-0.14993743705557422"/>
      </bottom>
      <diagonal/>
    </border>
    <border>
      <left style="thin">
        <color theme="0" tint="-0.14993743705557422"/>
      </left>
      <right style="thin">
        <color auto="1"/>
      </right>
      <top/>
      <bottom style="thin">
        <color theme="0" tint="-0.14993743705557422"/>
      </bottom>
      <diagonal/>
    </border>
    <border>
      <left style="thin">
        <color theme="0" tint="-0.14999847407452621"/>
      </left>
      <right style="thin">
        <color theme="0" tint="-0.14996795556505021"/>
      </right>
      <top style="thin">
        <color theme="0" tint="-0.14996795556505021"/>
      </top>
      <bottom style="thin">
        <color theme="0" tint="-0.14996795556505021"/>
      </bottom>
      <diagonal/>
    </border>
    <border>
      <left style="thin">
        <color theme="1"/>
      </left>
      <right style="thin">
        <color theme="0" tint="-0.14996795556505021"/>
      </right>
      <top style="thin">
        <color theme="0" tint="-0.24994659260841701"/>
      </top>
      <bottom style="thin">
        <color theme="0" tint="-0.24994659260841701"/>
      </bottom>
      <diagonal/>
    </border>
    <border>
      <left style="thin">
        <color theme="0" tint="-0.14999847407452621"/>
      </left>
      <right style="thin">
        <color theme="0" tint="-0.14996795556505021"/>
      </right>
      <top/>
      <bottom style="thin">
        <color theme="0" tint="-0.14996795556505021"/>
      </bottom>
      <diagonal/>
    </border>
    <border>
      <left style="thin">
        <color theme="0" tint="-0.14999847407452621"/>
      </left>
      <right style="thin">
        <color theme="0" tint="-0.14999847407452621"/>
      </right>
      <top/>
      <bottom style="thin">
        <color theme="0" tint="-0.24994659260841701"/>
      </bottom>
      <diagonal/>
    </border>
    <border>
      <left style="thin">
        <color theme="0" tint="-0.14999847407452621"/>
      </left>
      <right/>
      <top/>
      <bottom style="thin">
        <color theme="0" tint="-0.24994659260841701"/>
      </bottom>
      <diagonal/>
    </border>
    <border>
      <left style="thin">
        <color theme="0" tint="-0.14999847407452621"/>
      </left>
      <right style="thin">
        <color theme="0" tint="-0.14996795556505021"/>
      </right>
      <top/>
      <bottom style="thin">
        <color theme="0" tint="-0.24994659260841701"/>
      </bottom>
      <diagonal/>
    </border>
    <border>
      <left/>
      <right style="thin">
        <color auto="1"/>
      </right>
      <top/>
      <bottom style="thin">
        <color theme="0" tint="-0.24994659260841701"/>
      </bottom>
      <diagonal/>
    </border>
    <border>
      <left style="thin">
        <color auto="1"/>
      </left>
      <right style="thin">
        <color rgb="FFD9D9D9"/>
      </right>
      <top/>
      <bottom style="thin">
        <color rgb="FFD9D9D9"/>
      </bottom>
      <diagonal/>
    </border>
    <border>
      <left style="thin">
        <color rgb="FFD9D9D9"/>
      </left>
      <right style="thin">
        <color rgb="FFD9D9D9"/>
      </right>
      <top/>
      <bottom style="thin">
        <color rgb="FFD9D9D9"/>
      </bottom>
      <diagonal/>
    </border>
    <border>
      <left style="thin">
        <color rgb="FFD9D9D9"/>
      </left>
      <right style="thin">
        <color auto="1"/>
      </right>
      <top/>
      <bottom style="thin">
        <color rgb="FFD9D9D9"/>
      </bottom>
      <diagonal/>
    </border>
    <border>
      <left style="thin">
        <color auto="1"/>
      </left>
      <right style="thin">
        <color rgb="FFD9D9D9"/>
      </right>
      <top style="thin">
        <color rgb="FFD9D9D9"/>
      </top>
      <bottom style="thin">
        <color auto="1"/>
      </bottom>
      <diagonal/>
    </border>
    <border>
      <left style="thin">
        <color rgb="FFD9D9D9"/>
      </left>
      <right style="thin">
        <color rgb="FFD9D9D9"/>
      </right>
      <top style="thin">
        <color rgb="FFD9D9D9"/>
      </top>
      <bottom style="thin">
        <color auto="1"/>
      </bottom>
      <diagonal/>
    </border>
    <border>
      <left style="thin">
        <color rgb="FFD9D9D9"/>
      </left>
      <right style="thin">
        <color auto="1"/>
      </right>
      <top style="thin">
        <color rgb="FFD9D9D9"/>
      </top>
      <bottom style="thin">
        <color auto="1"/>
      </bottom>
      <diagonal/>
    </border>
    <border>
      <left style="thin">
        <color auto="1"/>
      </left>
      <right style="thin">
        <color rgb="FFD9D9D9"/>
      </right>
      <top style="thin">
        <color rgb="FFD9D9D9"/>
      </top>
      <bottom style="thin">
        <color rgb="FFD9D9D9"/>
      </bottom>
      <diagonal/>
    </border>
    <border>
      <left style="thin">
        <color rgb="FFD9D9D9"/>
      </left>
      <right style="thin">
        <color rgb="FFD9D9D9"/>
      </right>
      <top style="thin">
        <color rgb="FFD9D9D9"/>
      </top>
      <bottom style="thin">
        <color rgb="FFD9D9D9"/>
      </bottom>
      <diagonal/>
    </border>
    <border>
      <left style="thin">
        <color rgb="FFD9D9D9"/>
      </left>
      <right style="thin">
        <color auto="1"/>
      </right>
      <top style="thin">
        <color rgb="FFD9D9D9"/>
      </top>
      <bottom style="thin">
        <color rgb="FFD9D9D9"/>
      </bottom>
      <diagonal/>
    </border>
    <border>
      <left style="thin">
        <color auto="1"/>
      </left>
      <right style="thin">
        <color auto="1"/>
      </right>
      <top style="thin">
        <color auto="1"/>
      </top>
      <bottom style="thin">
        <color theme="0" tint="-0.14996795556505021"/>
      </bottom>
      <diagonal/>
    </border>
  </borders>
  <cellStyleXfs count="15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3" fillId="0" borderId="0"/>
    <xf numFmtId="164" fontId="3" fillId="0" borderId="0">
      <alignment horizontal="left"/>
    </xf>
    <xf numFmtId="165" fontId="3" fillId="0" borderId="0" applyFont="0" applyFill="0" applyBorder="0" applyAlignment="0" applyProtection="0"/>
    <xf numFmtId="49" fontId="5" fillId="0" borderId="1">
      <alignment vertical="top" wrapText="1"/>
    </xf>
    <xf numFmtId="0" fontId="3" fillId="2" borderId="2">
      <alignment horizontal="left" vertical="top" wrapText="1"/>
      <protection locked="0"/>
    </xf>
    <xf numFmtId="164" fontId="3" fillId="2" borderId="2">
      <alignment horizontal="left" vertical="top" wrapText="1"/>
      <protection locked="0"/>
    </xf>
    <xf numFmtId="0" fontId="4" fillId="3" borderId="3">
      <alignment horizontal="left" vertical="center"/>
    </xf>
    <xf numFmtId="9" fontId="31" fillId="0" borderId="0" applyFont="0" applyFill="0" applyBorder="0" applyAlignment="0" applyProtection="0"/>
  </cellStyleXfs>
  <cellXfs count="546">
    <xf numFmtId="0" fontId="0" fillId="0" borderId="0" xfId="0"/>
    <xf numFmtId="0" fontId="8" fillId="0" borderId="0" xfId="0" applyFont="1" applyAlignment="1">
      <alignment vertical="center"/>
    </xf>
    <xf numFmtId="0" fontId="9" fillId="0" borderId="0" xfId="0" applyFont="1"/>
    <xf numFmtId="0" fontId="10" fillId="0" borderId="0" xfId="0" applyFont="1" applyAlignment="1">
      <alignment vertical="center"/>
    </xf>
    <xf numFmtId="0" fontId="0" fillId="0" borderId="0" xfId="0" applyAlignment="1"/>
    <xf numFmtId="0" fontId="0" fillId="0" borderId="0" xfId="0" applyBorder="1"/>
    <xf numFmtId="0" fontId="14" fillId="0" borderId="0" xfId="0" applyFont="1" applyAlignment="1">
      <alignment wrapText="1"/>
    </xf>
    <xf numFmtId="0" fontId="7" fillId="0" borderId="0" xfId="0" applyFont="1" applyAlignment="1">
      <alignment vertical="top"/>
    </xf>
    <xf numFmtId="0" fontId="0" fillId="0" borderId="6" xfId="0" applyBorder="1" applyAlignment="1">
      <alignment vertical="top"/>
    </xf>
    <xf numFmtId="0" fontId="0" fillId="0" borderId="7" xfId="0" applyBorder="1" applyAlignment="1">
      <alignment vertical="top"/>
    </xf>
    <xf numFmtId="0" fontId="0" fillId="0" borderId="7" xfId="0" applyBorder="1" applyAlignment="1">
      <alignment vertical="top" wrapText="1"/>
    </xf>
    <xf numFmtId="0" fontId="0" fillId="0" borderId="0" xfId="0" applyAlignment="1">
      <alignment wrapText="1"/>
    </xf>
    <xf numFmtId="0" fontId="7" fillId="0" borderId="0" xfId="0" applyFont="1" applyAlignment="1">
      <alignment vertical="top" wrapText="1"/>
    </xf>
    <xf numFmtId="0" fontId="0" fillId="4" borderId="0" xfId="0" applyFill="1"/>
    <xf numFmtId="49" fontId="0" fillId="0" borderId="0" xfId="0" applyNumberFormat="1" applyAlignment="1">
      <alignment horizontal="right"/>
    </xf>
    <xf numFmtId="0" fontId="0" fillId="0" borderId="0" xfId="0" applyAlignment="1">
      <alignment horizontal="right"/>
    </xf>
    <xf numFmtId="0" fontId="6" fillId="4" borderId="9" xfId="0" applyFont="1" applyFill="1" applyBorder="1" applyAlignment="1">
      <alignment vertical="center"/>
    </xf>
    <xf numFmtId="0" fontId="7" fillId="4" borderId="15" xfId="0" applyFont="1" applyFill="1" applyBorder="1"/>
    <xf numFmtId="167" fontId="7" fillId="0" borderId="14" xfId="0" applyNumberFormat="1" applyFont="1" applyFill="1" applyBorder="1" applyAlignment="1">
      <alignment horizontal="center" vertical="center"/>
    </xf>
    <xf numFmtId="0" fontId="7" fillId="0" borderId="0" xfId="0" applyFont="1"/>
    <xf numFmtId="0" fontId="7" fillId="0" borderId="0" xfId="0" applyFont="1" applyAlignment="1">
      <alignment vertical="center"/>
    </xf>
    <xf numFmtId="0" fontId="0" fillId="0" borderId="7" xfId="0" applyBorder="1" applyAlignment="1">
      <alignment horizontal="left" vertical="top" wrapText="1"/>
    </xf>
    <xf numFmtId="0" fontId="0" fillId="0" borderId="8" xfId="0" applyBorder="1" applyAlignment="1">
      <alignment vertical="top" wrapText="1"/>
    </xf>
    <xf numFmtId="0" fontId="0" fillId="0" borderId="8" xfId="0" applyBorder="1" applyAlignment="1">
      <alignment horizontal="left" vertical="top" wrapText="1"/>
    </xf>
    <xf numFmtId="0" fontId="14" fillId="0" borderId="0" xfId="0" applyFont="1" applyAlignment="1">
      <alignment shrinkToFit="1"/>
    </xf>
    <xf numFmtId="0" fontId="0" fillId="0" borderId="0" xfId="0" applyFill="1"/>
    <xf numFmtId="0" fontId="14" fillId="0" borderId="0" xfId="0" applyFont="1" applyFill="1" applyAlignment="1">
      <alignment wrapText="1"/>
    </xf>
    <xf numFmtId="0" fontId="9" fillId="0" borderId="0" xfId="0" applyFont="1" applyAlignment="1">
      <alignment horizontal="center" wrapText="1"/>
    </xf>
    <xf numFmtId="0" fontId="0" fillId="11" borderId="0" xfId="0" applyFill="1"/>
    <xf numFmtId="0" fontId="0" fillId="12" borderId="0" xfId="0" applyFill="1"/>
    <xf numFmtId="0" fontId="0" fillId="0" borderId="0" xfId="0" applyFill="1" applyBorder="1"/>
    <xf numFmtId="0" fontId="0" fillId="12" borderId="0" xfId="0" applyFill="1" applyAlignment="1">
      <alignment horizontal="center"/>
    </xf>
    <xf numFmtId="0" fontId="0" fillId="12" borderId="0" xfId="0" applyFill="1" applyAlignment="1"/>
    <xf numFmtId="0" fontId="0" fillId="11" borderId="0" xfId="0" applyFill="1" applyAlignment="1">
      <alignment horizontal="center"/>
    </xf>
    <xf numFmtId="0" fontId="0" fillId="11" borderId="0" xfId="0" applyFill="1" applyAlignment="1"/>
    <xf numFmtId="0" fontId="0" fillId="13" borderId="0" xfId="0" applyFill="1"/>
    <xf numFmtId="0" fontId="0" fillId="13" borderId="0" xfId="0" applyFill="1" applyAlignment="1">
      <alignment horizontal="center"/>
    </xf>
    <xf numFmtId="0" fontId="0" fillId="13" borderId="0" xfId="0" applyFill="1" applyAlignment="1"/>
    <xf numFmtId="0" fontId="0" fillId="5" borderId="0" xfId="0" applyFill="1" applyAlignment="1">
      <alignment horizontal="center"/>
    </xf>
    <xf numFmtId="0" fontId="0" fillId="5" borderId="0" xfId="0" applyFill="1" applyAlignment="1"/>
    <xf numFmtId="0" fontId="0" fillId="5" borderId="0" xfId="0" applyFill="1"/>
    <xf numFmtId="0" fontId="6" fillId="4" borderId="15" xfId="0" applyFont="1" applyFill="1" applyBorder="1" applyAlignment="1">
      <alignment vertical="center"/>
    </xf>
    <xf numFmtId="14" fontId="0" fillId="0" borderId="0" xfId="0" applyNumberFormat="1" applyAlignment="1">
      <alignment horizontal="right"/>
    </xf>
    <xf numFmtId="2" fontId="0" fillId="0" borderId="7" xfId="0" applyNumberFormat="1" applyBorder="1" applyAlignment="1">
      <alignment vertical="top"/>
    </xf>
    <xf numFmtId="2" fontId="0" fillId="0" borderId="0" xfId="0" applyNumberFormat="1" applyAlignment="1">
      <alignment horizontal="right"/>
    </xf>
    <xf numFmtId="2" fontId="0" fillId="0" borderId="7" xfId="0" applyNumberFormat="1" applyBorder="1" applyAlignment="1">
      <alignment horizontal="right" vertical="top"/>
    </xf>
    <xf numFmtId="2" fontId="0" fillId="4" borderId="7" xfId="0" applyNumberFormat="1" applyFill="1" applyBorder="1" applyAlignment="1">
      <alignment horizontal="right" vertical="top"/>
    </xf>
    <xf numFmtId="1" fontId="0" fillId="0" borderId="7" xfId="0" applyNumberFormat="1" applyBorder="1" applyAlignment="1">
      <alignment horizontal="right" vertical="top"/>
    </xf>
    <xf numFmtId="0" fontId="0" fillId="0" borderId="7" xfId="0" applyBorder="1" applyAlignment="1">
      <alignment horizontal="right" vertical="top"/>
    </xf>
    <xf numFmtId="2" fontId="7" fillId="4" borderId="16" xfId="0" applyNumberFormat="1" applyFont="1" applyFill="1" applyBorder="1" applyAlignment="1">
      <alignment horizontal="right" vertical="center"/>
    </xf>
    <xf numFmtId="0" fontId="7" fillId="4" borderId="10" xfId="0" applyFont="1" applyFill="1" applyBorder="1" applyAlignment="1">
      <alignment horizontal="right" vertical="center" wrapText="1"/>
    </xf>
    <xf numFmtId="0" fontId="7" fillId="4" borderId="16" xfId="0" applyFont="1" applyFill="1" applyBorder="1" applyAlignment="1">
      <alignment horizontal="right" vertical="center" wrapText="1"/>
    </xf>
    <xf numFmtId="0" fontId="0" fillId="0" borderId="0" xfId="0" applyAlignment="1">
      <alignment horizontal="center"/>
    </xf>
    <xf numFmtId="0" fontId="7" fillId="4" borderId="15" xfId="0" applyFont="1" applyFill="1" applyBorder="1" applyAlignment="1">
      <alignment wrapText="1"/>
    </xf>
    <xf numFmtId="0" fontId="0" fillId="0" borderId="0" xfId="0" applyAlignment="1" applyProtection="1">
      <alignment wrapText="1"/>
      <protection locked="0"/>
    </xf>
    <xf numFmtId="0" fontId="7" fillId="4" borderId="15" xfId="0" applyFont="1" applyFill="1" applyBorder="1" applyAlignment="1" applyProtection="1">
      <alignment wrapText="1"/>
      <protection locked="0"/>
    </xf>
    <xf numFmtId="0" fontId="0" fillId="0" borderId="32" xfId="0" applyBorder="1"/>
    <xf numFmtId="0" fontId="22" fillId="16" borderId="41" xfId="0" applyFont="1" applyFill="1" applyBorder="1" applyAlignment="1">
      <alignment horizontal="left" vertical="top" wrapText="1"/>
    </xf>
    <xf numFmtId="2" fontId="0" fillId="0" borderId="53" xfId="0" applyNumberFormat="1" applyBorder="1"/>
    <xf numFmtId="2" fontId="0" fillId="0" borderId="54" xfId="0" applyNumberFormat="1" applyBorder="1"/>
    <xf numFmtId="0" fontId="22" fillId="16" borderId="59" xfId="0" applyFont="1" applyFill="1" applyBorder="1" applyAlignment="1">
      <alignment horizontal="left" vertical="top" wrapText="1"/>
    </xf>
    <xf numFmtId="0" fontId="7" fillId="4" borderId="32" xfId="0" applyNumberFormat="1" applyFont="1" applyFill="1" applyBorder="1" applyAlignment="1">
      <alignment horizontal="left" vertical="center"/>
    </xf>
    <xf numFmtId="0" fontId="7" fillId="4" borderId="64" xfId="0" applyNumberFormat="1" applyFont="1" applyFill="1" applyBorder="1" applyAlignment="1">
      <alignment horizontal="left" vertical="center"/>
    </xf>
    <xf numFmtId="0" fontId="22" fillId="16" borderId="40" xfId="0" applyFont="1" applyFill="1" applyBorder="1" applyAlignment="1">
      <alignment horizontal="left" vertical="center" wrapText="1"/>
    </xf>
    <xf numFmtId="0" fontId="22" fillId="16" borderId="26" xfId="0" applyFont="1" applyFill="1" applyBorder="1" applyAlignment="1">
      <alignment horizontal="left" wrapText="1"/>
    </xf>
    <xf numFmtId="0" fontId="22" fillId="16" borderId="27" xfId="0" applyFont="1" applyFill="1" applyBorder="1" applyAlignment="1">
      <alignment horizontal="left" wrapText="1"/>
    </xf>
    <xf numFmtId="0" fontId="22" fillId="16" borderId="33" xfId="0" applyFont="1" applyFill="1" applyBorder="1" applyAlignment="1">
      <alignment horizontal="left" wrapText="1"/>
    </xf>
    <xf numFmtId="0" fontId="23" fillId="16" borderId="17" xfId="0" applyFont="1" applyFill="1" applyBorder="1" applyAlignment="1">
      <alignment horizontal="left" vertical="center" wrapText="1"/>
    </xf>
    <xf numFmtId="0" fontId="23" fillId="16" borderId="18" xfId="0" applyFont="1" applyFill="1" applyBorder="1" applyAlignment="1">
      <alignment horizontal="left" vertical="center" wrapText="1"/>
    </xf>
    <xf numFmtId="0" fontId="23" fillId="16" borderId="19" xfId="0" applyFont="1" applyFill="1" applyBorder="1" applyAlignment="1">
      <alignment horizontal="left" vertical="center" wrapText="1"/>
    </xf>
    <xf numFmtId="0" fontId="22" fillId="16" borderId="51" xfId="0" applyFont="1" applyFill="1" applyBorder="1" applyAlignment="1">
      <alignment horizontal="left" vertical="center" wrapText="1"/>
    </xf>
    <xf numFmtId="0" fontId="22" fillId="16" borderId="61" xfId="0" applyFont="1" applyFill="1" applyBorder="1" applyAlignment="1">
      <alignment horizontal="left" vertical="center" wrapText="1"/>
    </xf>
    <xf numFmtId="2" fontId="0" fillId="4" borderId="52" xfId="0" applyNumberFormat="1" applyFill="1" applyBorder="1" applyAlignment="1">
      <alignment vertical="center"/>
    </xf>
    <xf numFmtId="0" fontId="22" fillId="16" borderId="63" xfId="0" applyFont="1" applyFill="1" applyBorder="1" applyAlignment="1">
      <alignment horizontal="left" vertical="center" wrapText="1"/>
    </xf>
    <xf numFmtId="1" fontId="0" fillId="0" borderId="54" xfId="0" applyNumberFormat="1" applyBorder="1" applyAlignment="1">
      <alignment vertical="top"/>
    </xf>
    <xf numFmtId="2" fontId="0" fillId="0" borderId="54" xfId="0" applyNumberFormat="1" applyBorder="1" applyAlignment="1">
      <alignment horizontal="right" vertical="top"/>
    </xf>
    <xf numFmtId="0" fontId="7" fillId="0" borderId="70" xfId="0" applyFont="1" applyFill="1" applyBorder="1" applyAlignment="1">
      <alignment vertical="top"/>
    </xf>
    <xf numFmtId="0" fontId="7" fillId="0" borderId="64" xfId="0" applyFont="1" applyFill="1" applyBorder="1" applyAlignment="1">
      <alignment horizontal="left" vertical="top"/>
    </xf>
    <xf numFmtId="0" fontId="7" fillId="0" borderId="64" xfId="0" applyFont="1" applyFill="1" applyBorder="1" applyAlignment="1">
      <alignment horizontal="left" vertical="top" wrapText="1"/>
    </xf>
    <xf numFmtId="2" fontId="7" fillId="0" borderId="55" xfId="0" applyNumberFormat="1" applyFont="1" applyFill="1" applyBorder="1" applyAlignment="1">
      <alignment horizontal="right" vertical="top"/>
    </xf>
    <xf numFmtId="0" fontId="7" fillId="0" borderId="72" xfId="0" applyFont="1" applyFill="1" applyBorder="1" applyAlignment="1">
      <alignment vertical="top"/>
    </xf>
    <xf numFmtId="0" fontId="7" fillId="0" borderId="73" xfId="0" applyFont="1" applyFill="1" applyBorder="1" applyAlignment="1">
      <alignment horizontal="left" vertical="top"/>
    </xf>
    <xf numFmtId="0" fontId="7" fillId="0" borderId="73" xfId="0" applyFont="1" applyFill="1" applyBorder="1" applyAlignment="1">
      <alignment horizontal="left" vertical="top" wrapText="1"/>
    </xf>
    <xf numFmtId="2" fontId="7" fillId="0" borderId="53" xfId="0" applyNumberFormat="1" applyFont="1" applyFill="1" applyBorder="1" applyAlignment="1">
      <alignment horizontal="right" vertical="top"/>
    </xf>
    <xf numFmtId="2" fontId="7" fillId="0" borderId="73" xfId="0" applyNumberFormat="1" applyFont="1" applyFill="1" applyBorder="1" applyAlignment="1">
      <alignment horizontal="right" vertical="top"/>
    </xf>
    <xf numFmtId="1" fontId="7" fillId="0" borderId="53" xfId="0" applyNumberFormat="1" applyFont="1" applyFill="1" applyBorder="1" applyAlignment="1">
      <alignment horizontal="right" vertical="top"/>
    </xf>
    <xf numFmtId="2" fontId="7" fillId="5" borderId="73" xfId="0" applyNumberFormat="1" applyFont="1" applyFill="1" applyBorder="1" applyAlignment="1">
      <alignment horizontal="right" vertical="top"/>
    </xf>
    <xf numFmtId="2" fontId="7" fillId="4" borderId="53" xfId="0" applyNumberFormat="1" applyFont="1" applyFill="1" applyBorder="1" applyAlignment="1">
      <alignment horizontal="right" vertical="top"/>
    </xf>
    <xf numFmtId="2" fontId="7" fillId="5" borderId="42" xfId="0" applyNumberFormat="1" applyFont="1" applyFill="1" applyBorder="1" applyAlignment="1">
      <alignment horizontal="right" vertical="top"/>
    </xf>
    <xf numFmtId="2" fontId="7" fillId="4" borderId="49" xfId="0" applyNumberFormat="1" applyFont="1" applyFill="1" applyBorder="1" applyAlignment="1">
      <alignment horizontal="right" vertical="top"/>
    </xf>
    <xf numFmtId="2" fontId="7" fillId="4" borderId="73" xfId="0" applyNumberFormat="1" applyFont="1" applyFill="1" applyBorder="1" applyAlignment="1">
      <alignment horizontal="right" vertical="top"/>
    </xf>
    <xf numFmtId="0" fontId="7" fillId="0" borderId="43" xfId="0" applyFont="1" applyFill="1" applyBorder="1" applyAlignment="1">
      <alignment horizontal="left" vertical="top" wrapText="1"/>
    </xf>
    <xf numFmtId="2" fontId="7" fillId="5" borderId="75" xfId="0" applyNumberFormat="1" applyFont="1" applyFill="1" applyBorder="1" applyAlignment="1">
      <alignment horizontal="right" vertical="top"/>
    </xf>
    <xf numFmtId="2" fontId="7" fillId="5" borderId="38" xfId="0" applyNumberFormat="1" applyFont="1" applyFill="1" applyBorder="1" applyAlignment="1">
      <alignment horizontal="right" vertical="top"/>
    </xf>
    <xf numFmtId="2" fontId="7" fillId="4" borderId="48" xfId="0" applyNumberFormat="1" applyFont="1" applyFill="1" applyBorder="1" applyAlignment="1">
      <alignment horizontal="right" vertical="top"/>
    </xf>
    <xf numFmtId="2" fontId="7" fillId="5" borderId="78" xfId="0" applyNumberFormat="1" applyFont="1" applyFill="1" applyBorder="1" applyAlignment="1">
      <alignment horizontal="right" vertical="top"/>
    </xf>
    <xf numFmtId="2" fontId="7" fillId="4" borderId="78" xfId="0" applyNumberFormat="1" applyFont="1" applyFill="1" applyBorder="1" applyAlignment="1">
      <alignment horizontal="right" vertical="top"/>
    </xf>
    <xf numFmtId="0" fontId="7" fillId="0" borderId="44" xfId="0" applyFont="1" applyFill="1" applyBorder="1" applyAlignment="1">
      <alignment horizontal="left" vertical="top" wrapText="1"/>
    </xf>
    <xf numFmtId="2" fontId="7" fillId="4" borderId="52" xfId="0" applyNumberFormat="1" applyFont="1" applyFill="1" applyBorder="1" applyAlignment="1">
      <alignment horizontal="right" vertical="top"/>
    </xf>
    <xf numFmtId="0" fontId="7" fillId="0" borderId="78" xfId="0" applyFont="1" applyFill="1" applyBorder="1" applyAlignment="1">
      <alignment horizontal="left" vertical="top"/>
    </xf>
    <xf numFmtId="0" fontId="7" fillId="0" borderId="78" xfId="0" applyFont="1" applyFill="1" applyBorder="1" applyAlignment="1">
      <alignment horizontal="left" vertical="top" wrapText="1"/>
    </xf>
    <xf numFmtId="2" fontId="7" fillId="0" borderId="52" xfId="0" applyNumberFormat="1" applyFont="1" applyFill="1" applyBorder="1" applyAlignment="1">
      <alignment horizontal="right" vertical="top"/>
    </xf>
    <xf numFmtId="2" fontId="7" fillId="0" borderId="78" xfId="0" applyNumberFormat="1" applyFont="1" applyFill="1" applyBorder="1" applyAlignment="1">
      <alignment horizontal="right" vertical="top"/>
    </xf>
    <xf numFmtId="1" fontId="7" fillId="0" borderId="52" xfId="0" applyNumberFormat="1" applyFont="1" applyFill="1" applyBorder="1" applyAlignment="1">
      <alignment horizontal="right" vertical="top"/>
    </xf>
    <xf numFmtId="0" fontId="7" fillId="0" borderId="80" xfId="0" applyFont="1" applyFill="1" applyBorder="1" applyAlignment="1">
      <alignment vertical="top"/>
    </xf>
    <xf numFmtId="1" fontId="7" fillId="0" borderId="73" xfId="0" applyNumberFormat="1" applyFont="1" applyFill="1" applyBorder="1" applyAlignment="1">
      <alignment horizontal="right" vertical="top"/>
    </xf>
    <xf numFmtId="0" fontId="7" fillId="0" borderId="73" xfId="0" applyFont="1" applyFill="1" applyBorder="1" applyAlignment="1">
      <alignment vertical="top"/>
    </xf>
    <xf numFmtId="2" fontId="7" fillId="5" borderId="76" xfId="0" applyNumberFormat="1" applyFont="1" applyFill="1" applyBorder="1" applyAlignment="1">
      <alignment horizontal="right" vertical="top"/>
    </xf>
    <xf numFmtId="0" fontId="0" fillId="0" borderId="9" xfId="0" applyBorder="1"/>
    <xf numFmtId="0" fontId="0" fillId="0" borderId="15" xfId="0" applyBorder="1"/>
    <xf numFmtId="0" fontId="0" fillId="0" borderId="10" xfId="0" applyBorder="1"/>
    <xf numFmtId="0" fontId="22" fillId="16" borderId="36" xfId="0" applyFont="1" applyFill="1" applyBorder="1" applyAlignment="1">
      <alignment vertical="center"/>
    </xf>
    <xf numFmtId="0" fontId="22" fillId="16" borderId="57" xfId="0" applyFont="1" applyFill="1" applyBorder="1" applyAlignment="1">
      <alignment vertical="top" wrapText="1"/>
    </xf>
    <xf numFmtId="0" fontId="22" fillId="16" borderId="37" xfId="0" applyFont="1" applyFill="1" applyBorder="1" applyAlignment="1">
      <alignment vertical="top"/>
    </xf>
    <xf numFmtId="0" fontId="22" fillId="16" borderId="47" xfId="0" applyFont="1" applyFill="1" applyBorder="1" applyAlignment="1">
      <alignment horizontal="left" vertical="center" wrapText="1"/>
    </xf>
    <xf numFmtId="0" fontId="15" fillId="5" borderId="63" xfId="0" applyFont="1" applyFill="1" applyBorder="1" applyAlignment="1">
      <alignment horizontal="centerContinuous" vertical="center" wrapText="1"/>
    </xf>
    <xf numFmtId="0" fontId="22" fillId="16" borderId="63" xfId="0" applyFont="1" applyFill="1" applyBorder="1" applyAlignment="1">
      <alignment horizontal="center" vertical="center" wrapText="1"/>
    </xf>
    <xf numFmtId="0" fontId="0" fillId="0" borderId="90" xfId="0" applyBorder="1" applyAlignment="1">
      <alignment vertical="top"/>
    </xf>
    <xf numFmtId="0" fontId="0" fillId="0" borderId="54" xfId="0" applyBorder="1" applyAlignment="1">
      <alignment horizontal="left" vertical="top" wrapText="1"/>
    </xf>
    <xf numFmtId="0" fontId="7" fillId="0" borderId="55" xfId="0" applyFont="1" applyFill="1" applyBorder="1" applyAlignment="1">
      <alignment horizontal="left" vertical="top" wrapText="1"/>
    </xf>
    <xf numFmtId="1" fontId="7" fillId="0" borderId="64" xfId="0" applyNumberFormat="1" applyFont="1" applyFill="1" applyBorder="1" applyAlignment="1">
      <alignment horizontal="right" vertical="top"/>
    </xf>
    <xf numFmtId="2" fontId="7" fillId="4" borderId="14" xfId="0" applyNumberFormat="1" applyFont="1" applyFill="1" applyBorder="1" applyAlignment="1">
      <alignment horizontal="right" vertical="top"/>
    </xf>
    <xf numFmtId="0" fontId="7" fillId="0" borderId="4" xfId="0" applyFont="1" applyFill="1" applyBorder="1" applyAlignment="1">
      <alignment horizontal="left" vertical="top" wrapText="1"/>
    </xf>
    <xf numFmtId="0" fontId="7" fillId="0" borderId="91" xfId="0" applyFont="1" applyFill="1" applyBorder="1" applyAlignment="1">
      <alignment vertical="top"/>
    </xf>
    <xf numFmtId="0" fontId="7" fillId="0" borderId="52" xfId="0" applyFont="1" applyFill="1" applyBorder="1" applyAlignment="1">
      <alignment horizontal="left" vertical="top" wrapText="1"/>
    </xf>
    <xf numFmtId="1" fontId="7" fillId="0" borderId="78" xfId="0" applyNumberFormat="1" applyFont="1" applyFill="1" applyBorder="1" applyAlignment="1">
      <alignment horizontal="right" vertical="top"/>
    </xf>
    <xf numFmtId="2" fontId="7" fillId="4" borderId="39" xfId="0" applyNumberFormat="1" applyFont="1" applyFill="1" applyBorder="1" applyAlignment="1">
      <alignment horizontal="right" vertical="top"/>
    </xf>
    <xf numFmtId="0" fontId="7" fillId="0" borderId="84" xfId="0" applyFont="1" applyFill="1" applyBorder="1" applyAlignment="1">
      <alignment horizontal="left" vertical="top" wrapText="1"/>
    </xf>
    <xf numFmtId="0" fontId="7" fillId="0" borderId="53" xfId="0" applyFont="1" applyFill="1" applyBorder="1" applyAlignment="1">
      <alignment horizontal="left" vertical="top" wrapText="1"/>
    </xf>
    <xf numFmtId="2" fontId="7" fillId="4" borderId="92" xfId="0" applyNumberFormat="1" applyFont="1" applyFill="1" applyBorder="1" applyAlignment="1">
      <alignment horizontal="right" vertical="top"/>
    </xf>
    <xf numFmtId="0" fontId="7" fillId="0" borderId="93" xfId="0" applyFont="1" applyFill="1" applyBorder="1" applyAlignment="1">
      <alignment horizontal="left" vertical="top" wrapText="1"/>
    </xf>
    <xf numFmtId="0" fontId="22" fillId="16" borderId="68" xfId="0" applyFont="1" applyFill="1" applyBorder="1" applyAlignment="1">
      <alignment horizontal="left" vertical="center" wrapText="1"/>
    </xf>
    <xf numFmtId="0" fontId="22" fillId="16" borderId="62" xfId="0" applyFont="1" applyFill="1" applyBorder="1" applyAlignment="1">
      <alignment horizontal="left" vertical="center" wrapText="1"/>
    </xf>
    <xf numFmtId="0" fontId="7" fillId="0" borderId="78" xfId="0" applyFont="1" applyFill="1" applyBorder="1" applyAlignment="1">
      <alignment vertical="top"/>
    </xf>
    <xf numFmtId="0" fontId="7" fillId="0" borderId="53" xfId="0" applyFont="1" applyFill="1" applyBorder="1" applyAlignment="1">
      <alignment vertical="top"/>
    </xf>
    <xf numFmtId="0" fontId="7" fillId="0" borderId="55" xfId="0" applyFont="1" applyFill="1" applyBorder="1" applyAlignment="1">
      <alignment vertical="top"/>
    </xf>
    <xf numFmtId="0" fontId="7" fillId="0" borderId="52" xfId="0" applyFont="1" applyFill="1" applyBorder="1" applyAlignment="1">
      <alignment vertical="top"/>
    </xf>
    <xf numFmtId="0" fontId="14" fillId="0" borderId="32" xfId="0" applyFont="1" applyBorder="1" applyAlignment="1">
      <alignment wrapText="1"/>
    </xf>
    <xf numFmtId="0" fontId="14" fillId="0" borderId="32" xfId="0" applyFont="1" applyFill="1" applyBorder="1" applyAlignment="1">
      <alignment wrapText="1"/>
    </xf>
    <xf numFmtId="0" fontId="0" fillId="0" borderId="32" xfId="0" applyFill="1" applyBorder="1"/>
    <xf numFmtId="0" fontId="0" fillId="0" borderId="94" xfId="0" applyBorder="1" applyAlignment="1">
      <alignment horizontal="left" vertical="top" wrapText="1"/>
    </xf>
    <xf numFmtId="0" fontId="14" fillId="0" borderId="32" xfId="0" applyFont="1" applyFill="1" applyBorder="1" applyAlignment="1">
      <alignment shrinkToFit="1"/>
    </xf>
    <xf numFmtId="0" fontId="0" fillId="0" borderId="96" xfId="0" applyBorder="1" applyAlignment="1">
      <alignment vertical="top"/>
    </xf>
    <xf numFmtId="1" fontId="0" fillId="0" borderId="96" xfId="0" applyNumberFormat="1" applyBorder="1" applyAlignment="1">
      <alignment horizontal="right" vertical="top"/>
    </xf>
    <xf numFmtId="0" fontId="0" fillId="0" borderId="97" xfId="0" applyBorder="1" applyAlignment="1">
      <alignment horizontal="left" vertical="top" wrapText="1"/>
    </xf>
    <xf numFmtId="2" fontId="0" fillId="4" borderId="97" xfId="0" applyNumberFormat="1" applyFill="1" applyBorder="1" applyAlignment="1">
      <alignment horizontal="right" vertical="top"/>
    </xf>
    <xf numFmtId="2" fontId="0" fillId="0" borderId="96" xfId="0" applyNumberFormat="1" applyBorder="1" applyAlignment="1">
      <alignment horizontal="right" vertical="top"/>
    </xf>
    <xf numFmtId="0" fontId="22" fillId="16" borderId="37" xfId="0" applyFont="1" applyFill="1" applyBorder="1" applyAlignment="1">
      <alignment horizontal="left" vertical="center" wrapText="1"/>
    </xf>
    <xf numFmtId="0" fontId="6" fillId="12" borderId="10" xfId="0" applyFont="1" applyFill="1" applyBorder="1" applyAlignment="1">
      <alignment horizontal="center" vertical="center"/>
    </xf>
    <xf numFmtId="0" fontId="7" fillId="0" borderId="53" xfId="0" applyFont="1" applyFill="1" applyBorder="1" applyAlignment="1">
      <alignment horizontal="left" vertical="top"/>
    </xf>
    <xf numFmtId="0" fontId="7" fillId="0" borderId="55" xfId="0" applyFont="1" applyFill="1" applyBorder="1" applyAlignment="1">
      <alignment horizontal="left" vertical="top"/>
    </xf>
    <xf numFmtId="10" fontId="7" fillId="0" borderId="73" xfId="0" applyNumberFormat="1" applyFont="1" applyFill="1" applyBorder="1" applyAlignment="1">
      <alignment horizontal="right" vertical="top"/>
    </xf>
    <xf numFmtId="10" fontId="7" fillId="0" borderId="78" xfId="0" applyNumberFormat="1" applyFont="1" applyFill="1" applyBorder="1" applyAlignment="1">
      <alignment horizontal="right" vertical="top"/>
    </xf>
    <xf numFmtId="0" fontId="7" fillId="0" borderId="52" xfId="0" applyFont="1" applyFill="1" applyBorder="1" applyAlignment="1">
      <alignment horizontal="left" vertical="top"/>
    </xf>
    <xf numFmtId="0" fontId="6" fillId="4" borderId="90" xfId="0" applyFont="1" applyFill="1" applyBorder="1" applyAlignment="1">
      <alignment horizontal="center" vertical="top"/>
    </xf>
    <xf numFmtId="2" fontId="6" fillId="12" borderId="94" xfId="0" applyNumberFormat="1" applyFont="1" applyFill="1" applyBorder="1" applyAlignment="1">
      <alignment horizontal="center" vertical="top"/>
    </xf>
    <xf numFmtId="0" fontId="6" fillId="5" borderId="100" xfId="0" applyFont="1" applyFill="1" applyBorder="1" applyAlignment="1">
      <alignment vertical="top"/>
    </xf>
    <xf numFmtId="0" fontId="6" fillId="5" borderId="99" xfId="0" applyFont="1" applyFill="1" applyBorder="1" applyAlignment="1">
      <alignment horizontal="center" vertical="top"/>
    </xf>
    <xf numFmtId="0" fontId="7" fillId="0" borderId="74" xfId="0" applyFont="1" applyFill="1" applyBorder="1" applyAlignment="1">
      <alignment horizontal="left" vertical="top" wrapText="1"/>
    </xf>
    <xf numFmtId="0" fontId="7" fillId="0" borderId="81" xfId="0" applyFont="1" applyFill="1" applyBorder="1" applyAlignment="1">
      <alignment horizontal="left" vertical="top" wrapText="1"/>
    </xf>
    <xf numFmtId="0" fontId="7" fillId="0" borderId="64" xfId="0" applyFont="1" applyFill="1" applyBorder="1" applyAlignment="1">
      <alignment vertical="top"/>
    </xf>
    <xf numFmtId="0" fontId="7" fillId="0" borderId="73" xfId="0" applyFont="1" applyFill="1" applyBorder="1" applyAlignment="1" applyProtection="1">
      <alignment horizontal="left" vertical="top" wrapText="1"/>
      <protection locked="0"/>
    </xf>
    <xf numFmtId="0" fontId="7" fillId="0" borderId="64" xfId="0" applyFont="1" applyFill="1" applyBorder="1" applyAlignment="1" applyProtection="1">
      <alignment horizontal="left" vertical="top" wrapText="1"/>
      <protection locked="0"/>
    </xf>
    <xf numFmtId="0" fontId="7" fillId="0" borderId="90" xfId="0" applyFont="1" applyFill="1" applyBorder="1" applyAlignment="1">
      <alignment vertical="top"/>
    </xf>
    <xf numFmtId="0" fontId="7" fillId="0" borderId="97" xfId="0" applyFont="1" applyFill="1" applyBorder="1" applyAlignment="1">
      <alignment vertical="top"/>
    </xf>
    <xf numFmtId="0" fontId="7" fillId="0" borderId="97" xfId="0" applyFont="1" applyFill="1" applyBorder="1" applyAlignment="1">
      <alignment horizontal="left" vertical="top"/>
    </xf>
    <xf numFmtId="0" fontId="7" fillId="0" borderId="97" xfId="0" applyFont="1" applyFill="1" applyBorder="1" applyAlignment="1">
      <alignment horizontal="left" vertical="top" wrapText="1"/>
    </xf>
    <xf numFmtId="0" fontId="7" fillId="0" borderId="97" xfId="0" applyFont="1" applyFill="1" applyBorder="1" applyAlignment="1" applyProtection="1">
      <alignment horizontal="left" vertical="top" wrapText="1"/>
      <protection locked="0"/>
    </xf>
    <xf numFmtId="0" fontId="7" fillId="0" borderId="78" xfId="0" applyFont="1" applyFill="1" applyBorder="1" applyAlignment="1" applyProtection="1">
      <alignment horizontal="left" vertical="top" wrapText="1"/>
      <protection locked="0"/>
    </xf>
    <xf numFmtId="10" fontId="7" fillId="4" borderId="32" xfId="0" applyNumberFormat="1" applyFont="1" applyFill="1" applyBorder="1" applyAlignment="1">
      <alignment horizontal="right" vertical="center" wrapText="1"/>
    </xf>
    <xf numFmtId="2" fontId="7" fillId="4" borderId="72" xfId="0" applyNumberFormat="1" applyFont="1" applyFill="1" applyBorder="1" applyAlignment="1">
      <alignment horizontal="right" vertical="center"/>
    </xf>
    <xf numFmtId="10" fontId="7" fillId="4" borderId="43" xfId="0" applyNumberFormat="1" applyFont="1" applyFill="1" applyBorder="1" applyAlignment="1">
      <alignment horizontal="right" vertical="center" wrapText="1"/>
    </xf>
    <xf numFmtId="0" fontId="7" fillId="0" borderId="32" xfId="0" applyFont="1" applyFill="1" applyBorder="1" applyAlignment="1">
      <alignment horizontal="center" vertical="center" wrapText="1"/>
    </xf>
    <xf numFmtId="1" fontId="7" fillId="14" borderId="70" xfId="0" applyNumberFormat="1" applyFont="1" applyFill="1" applyBorder="1" applyAlignment="1">
      <alignment horizontal="center" vertical="center"/>
    </xf>
    <xf numFmtId="1" fontId="7" fillId="14" borderId="90" xfId="0" applyNumberFormat="1" applyFont="1" applyFill="1" applyBorder="1" applyAlignment="1">
      <alignment horizontal="center" vertical="center"/>
    </xf>
    <xf numFmtId="2" fontId="7" fillId="4" borderId="4" xfId="0" applyNumberFormat="1" applyFont="1" applyFill="1" applyBorder="1" applyAlignment="1">
      <alignment horizontal="right" vertical="center" wrapText="1"/>
    </xf>
    <xf numFmtId="1" fontId="7" fillId="14" borderId="80" xfId="0" applyNumberFormat="1" applyFont="1" applyFill="1" applyBorder="1" applyAlignment="1">
      <alignment horizontal="center" vertical="center"/>
    </xf>
    <xf numFmtId="0" fontId="7" fillId="0" borderId="44" xfId="0" applyFont="1" applyFill="1" applyBorder="1" applyAlignment="1">
      <alignment horizontal="center" vertical="center" wrapText="1"/>
    </xf>
    <xf numFmtId="2" fontId="7" fillId="4" borderId="84" xfId="0" applyNumberFormat="1" applyFont="1" applyFill="1" applyBorder="1" applyAlignment="1">
      <alignment horizontal="right" vertical="center" wrapText="1"/>
    </xf>
    <xf numFmtId="0" fontId="7" fillId="0" borderId="69" xfId="0" applyFont="1" applyFill="1" applyBorder="1" applyAlignment="1">
      <alignment horizontal="left" vertical="top" wrapText="1"/>
    </xf>
    <xf numFmtId="167" fontId="7" fillId="0" borderId="71" xfId="0" applyNumberFormat="1" applyFont="1" applyFill="1" applyBorder="1" applyAlignment="1">
      <alignment horizontal="center" vertical="center"/>
    </xf>
    <xf numFmtId="167" fontId="7" fillId="4" borderId="103" xfId="0" applyNumberFormat="1" applyFont="1" applyFill="1" applyBorder="1" applyAlignment="1">
      <alignment horizontal="center" vertical="center"/>
    </xf>
    <xf numFmtId="167" fontId="7" fillId="0" borderId="79" xfId="0" applyNumberFormat="1" applyFont="1" applyFill="1" applyBorder="1" applyAlignment="1">
      <alignment horizontal="center" vertical="center"/>
    </xf>
    <xf numFmtId="167" fontId="7" fillId="4" borderId="104" xfId="0" applyNumberFormat="1" applyFont="1" applyFill="1" applyBorder="1" applyAlignment="1">
      <alignment horizontal="center" vertical="center"/>
    </xf>
    <xf numFmtId="167" fontId="7" fillId="4" borderId="46" xfId="0" applyNumberFormat="1" applyFont="1" applyFill="1" applyBorder="1" applyAlignment="1">
      <alignment horizontal="center" vertical="center"/>
    </xf>
    <xf numFmtId="167" fontId="7" fillId="0" borderId="55" xfId="0" applyNumberFormat="1" applyFont="1" applyFill="1" applyBorder="1" applyAlignment="1">
      <alignment horizontal="center" vertical="center"/>
    </xf>
    <xf numFmtId="167" fontId="7" fillId="0" borderId="48" xfId="0" applyNumberFormat="1" applyFont="1" applyFill="1" applyBorder="1" applyAlignment="1">
      <alignment horizontal="center" vertical="center"/>
    </xf>
    <xf numFmtId="167" fontId="7" fillId="0" borderId="52" xfId="0" applyNumberFormat="1" applyFont="1" applyFill="1" applyBorder="1" applyAlignment="1">
      <alignment horizontal="center" vertical="center"/>
    </xf>
    <xf numFmtId="167" fontId="7" fillId="0" borderId="39" xfId="0" applyNumberFormat="1" applyFont="1" applyFill="1" applyBorder="1" applyAlignment="1">
      <alignment horizontal="center" vertical="center"/>
    </xf>
    <xf numFmtId="167" fontId="7" fillId="0" borderId="49" xfId="0" applyNumberFormat="1" applyFont="1" applyFill="1" applyBorder="1" applyAlignment="1">
      <alignment horizontal="center" vertical="center"/>
    </xf>
    <xf numFmtId="167" fontId="7" fillId="0" borderId="53" xfId="0" applyNumberFormat="1" applyFont="1" applyFill="1" applyBorder="1" applyAlignment="1">
      <alignment horizontal="center" vertical="center"/>
    </xf>
    <xf numFmtId="167" fontId="7" fillId="0" borderId="92" xfId="0" applyNumberFormat="1" applyFont="1" applyFill="1" applyBorder="1" applyAlignment="1">
      <alignment horizontal="center" vertical="center"/>
    </xf>
    <xf numFmtId="167" fontId="7" fillId="0" borderId="38" xfId="0" applyNumberFormat="1" applyFont="1" applyFill="1" applyBorder="1" applyAlignment="1">
      <alignment horizontal="center" vertical="center"/>
    </xf>
    <xf numFmtId="2" fontId="7" fillId="4" borderId="53" xfId="0" applyNumberFormat="1" applyFont="1" applyFill="1" applyBorder="1" applyAlignment="1">
      <alignment horizontal="right" vertical="center"/>
    </xf>
    <xf numFmtId="167" fontId="7" fillId="0" borderId="73" xfId="0" applyNumberFormat="1" applyFont="1" applyFill="1" applyBorder="1" applyAlignment="1">
      <alignment horizontal="center" vertical="center"/>
    </xf>
    <xf numFmtId="167" fontId="7" fillId="0" borderId="90" xfId="0" applyNumberFormat="1" applyFont="1" applyFill="1" applyBorder="1" applyAlignment="1">
      <alignment horizontal="center" vertical="center"/>
    </xf>
    <xf numFmtId="167" fontId="7" fillId="0" borderId="80" xfId="0" applyNumberFormat="1" applyFont="1" applyFill="1" applyBorder="1" applyAlignment="1">
      <alignment horizontal="center" vertical="center"/>
    </xf>
    <xf numFmtId="167" fontId="7" fillId="0" borderId="78" xfId="0" applyNumberFormat="1" applyFont="1" applyFill="1" applyBorder="1" applyAlignment="1">
      <alignment horizontal="center" vertical="center"/>
    </xf>
    <xf numFmtId="167" fontId="7" fillId="4" borderId="9" xfId="0" applyNumberFormat="1" applyFont="1" applyFill="1" applyBorder="1" applyAlignment="1">
      <alignment horizontal="center" vertical="center"/>
    </xf>
    <xf numFmtId="167" fontId="7" fillId="4" borderId="105" xfId="0" applyNumberFormat="1" applyFont="1" applyFill="1" applyBorder="1" applyAlignment="1">
      <alignment horizontal="center" vertical="center"/>
    </xf>
    <xf numFmtId="167" fontId="7" fillId="4" borderId="106" xfId="0" applyNumberFormat="1" applyFont="1" applyFill="1" applyBorder="1" applyAlignment="1">
      <alignment horizontal="center" vertical="center"/>
    </xf>
    <xf numFmtId="167" fontId="7" fillId="0" borderId="0" xfId="0" applyNumberFormat="1" applyFont="1" applyFill="1" applyBorder="1" applyAlignment="1">
      <alignment horizontal="center" vertical="center"/>
    </xf>
    <xf numFmtId="167" fontId="7" fillId="0" borderId="96" xfId="0" applyNumberFormat="1" applyFont="1" applyFill="1" applyBorder="1" applyAlignment="1">
      <alignment horizontal="center" vertical="center"/>
    </xf>
    <xf numFmtId="167" fontId="7" fillId="0" borderId="67" xfId="0" applyNumberFormat="1" applyFont="1" applyFill="1" applyBorder="1" applyAlignment="1">
      <alignment horizontal="center" vertical="center"/>
    </xf>
    <xf numFmtId="167" fontId="7" fillId="0" borderId="98" xfId="0" applyNumberFormat="1" applyFont="1" applyFill="1" applyBorder="1" applyAlignment="1">
      <alignment horizontal="center" vertical="center"/>
    </xf>
    <xf numFmtId="167" fontId="7" fillId="0" borderId="64" xfId="0" applyNumberFormat="1" applyFont="1" applyFill="1" applyBorder="1" applyAlignment="1">
      <alignment horizontal="center" vertical="center"/>
    </xf>
    <xf numFmtId="167" fontId="7" fillId="4" borderId="108" xfId="0" applyNumberFormat="1" applyFont="1" applyFill="1" applyBorder="1" applyAlignment="1">
      <alignment horizontal="center" vertical="center"/>
    </xf>
    <xf numFmtId="0" fontId="14" fillId="0" borderId="38" xfId="0" applyFont="1" applyFill="1" applyBorder="1" applyAlignment="1">
      <alignment wrapText="1"/>
    </xf>
    <xf numFmtId="0" fontId="7" fillId="0" borderId="102" xfId="0" applyFont="1" applyFill="1" applyBorder="1" applyAlignment="1">
      <alignment horizontal="left" vertical="top" wrapText="1"/>
    </xf>
    <xf numFmtId="2" fontId="7" fillId="4" borderId="93" xfId="0" applyNumberFormat="1" applyFont="1" applyFill="1" applyBorder="1" applyAlignment="1">
      <alignment horizontal="right" vertical="center" wrapText="1"/>
    </xf>
    <xf numFmtId="0" fontId="7" fillId="0" borderId="43" xfId="0" applyFont="1" applyFill="1" applyBorder="1" applyAlignment="1">
      <alignment horizontal="center" vertical="center" wrapText="1"/>
    </xf>
    <xf numFmtId="1" fontId="7" fillId="14" borderId="72" xfId="0" applyNumberFormat="1" applyFont="1" applyFill="1" applyBorder="1" applyAlignment="1">
      <alignment horizontal="center" vertical="center"/>
    </xf>
    <xf numFmtId="167" fontId="7" fillId="4" borderId="89" xfId="0" applyNumberFormat="1" applyFont="1" applyFill="1" applyBorder="1" applyAlignment="1">
      <alignment horizontal="center" vertical="center"/>
    </xf>
    <xf numFmtId="1" fontId="7" fillId="14" borderId="52" xfId="0" applyNumberFormat="1" applyFont="1" applyFill="1" applyBorder="1" applyAlignment="1">
      <alignment horizontal="center" vertical="center"/>
    </xf>
    <xf numFmtId="0" fontId="7" fillId="0" borderId="110" xfId="0" applyFont="1" applyFill="1" applyBorder="1" applyAlignment="1">
      <alignment horizontal="left" vertical="top" wrapText="1"/>
    </xf>
    <xf numFmtId="10" fontId="7" fillId="4" borderId="38" xfId="0" applyNumberFormat="1" applyFont="1" applyFill="1" applyBorder="1" applyAlignment="1">
      <alignment horizontal="right" vertical="center" wrapText="1"/>
    </xf>
    <xf numFmtId="0" fontId="7" fillId="4" borderId="107" xfId="0" applyFont="1" applyFill="1" applyBorder="1" applyAlignment="1">
      <alignment horizontal="right" vertical="center"/>
    </xf>
    <xf numFmtId="0" fontId="7" fillId="4" borderId="107" xfId="0" applyFont="1" applyFill="1" applyBorder="1" applyAlignment="1">
      <alignment horizontal="center" vertical="center"/>
    </xf>
    <xf numFmtId="2" fontId="7" fillId="4" borderId="60" xfId="0" applyNumberFormat="1" applyFont="1" applyFill="1" applyBorder="1" applyAlignment="1">
      <alignment horizontal="right" vertical="center"/>
    </xf>
    <xf numFmtId="2" fontId="7" fillId="4" borderId="55" xfId="0" applyNumberFormat="1" applyFont="1" applyFill="1" applyBorder="1" applyAlignment="1">
      <alignment horizontal="right" vertical="center"/>
    </xf>
    <xf numFmtId="167" fontId="7" fillId="0" borderId="72" xfId="0" applyNumberFormat="1" applyFont="1" applyFill="1" applyBorder="1" applyAlignment="1">
      <alignment horizontal="center" vertical="center"/>
    </xf>
    <xf numFmtId="167" fontId="7" fillId="0" borderId="70" xfId="0" applyNumberFormat="1" applyFont="1" applyFill="1" applyBorder="1" applyAlignment="1">
      <alignment horizontal="center" vertical="center"/>
    </xf>
    <xf numFmtId="0" fontId="7" fillId="0" borderId="83" xfId="0" applyFont="1" applyFill="1" applyBorder="1" applyAlignment="1">
      <alignment vertical="top"/>
    </xf>
    <xf numFmtId="0" fontId="7" fillId="0" borderId="71" xfId="0" applyFont="1" applyFill="1" applyBorder="1" applyAlignment="1">
      <alignment horizontal="left" vertical="top"/>
    </xf>
    <xf numFmtId="10" fontId="7" fillId="4" borderId="44" xfId="0" applyNumberFormat="1" applyFont="1" applyFill="1" applyBorder="1" applyAlignment="1">
      <alignment horizontal="right" vertical="center" wrapText="1"/>
    </xf>
    <xf numFmtId="2" fontId="7" fillId="4" borderId="102" xfId="0" applyNumberFormat="1" applyFont="1" applyFill="1" applyBorder="1" applyAlignment="1">
      <alignment horizontal="right" vertical="center" wrapText="1"/>
    </xf>
    <xf numFmtId="0" fontId="6" fillId="5" borderId="115" xfId="0" applyFont="1" applyFill="1" applyBorder="1" applyAlignment="1">
      <alignment vertical="center"/>
    </xf>
    <xf numFmtId="0" fontId="6" fillId="5" borderId="116" xfId="0" applyFont="1" applyFill="1" applyBorder="1" applyAlignment="1">
      <alignment vertical="center"/>
    </xf>
    <xf numFmtId="0" fontId="6" fillId="5" borderId="117" xfId="0" applyFont="1" applyFill="1" applyBorder="1" applyAlignment="1">
      <alignment horizontal="left" vertical="center"/>
    </xf>
    <xf numFmtId="0" fontId="6" fillId="5" borderId="117" xfId="0" applyFont="1" applyFill="1" applyBorder="1" applyAlignment="1">
      <alignment horizontal="left" vertical="center" wrapText="1"/>
    </xf>
    <xf numFmtId="0" fontId="6" fillId="5" borderId="117" xfId="0" applyFont="1" applyFill="1" applyBorder="1" applyAlignment="1" applyProtection="1">
      <alignment horizontal="left" vertical="center" wrapText="1"/>
      <protection locked="0"/>
    </xf>
    <xf numFmtId="0" fontId="6" fillId="5" borderId="118" xfId="0" applyFont="1" applyFill="1" applyBorder="1" applyAlignment="1">
      <alignment horizontal="left" vertical="center" wrapText="1"/>
    </xf>
    <xf numFmtId="0" fontId="6" fillId="5" borderId="117" xfId="0" applyFont="1" applyFill="1" applyBorder="1" applyAlignment="1">
      <alignment horizontal="center" vertical="center"/>
    </xf>
    <xf numFmtId="0" fontId="6" fillId="5" borderId="36" xfId="0" applyFont="1" applyFill="1" applyBorder="1" applyAlignment="1">
      <alignment vertical="center"/>
    </xf>
    <xf numFmtId="0" fontId="6" fillId="5" borderId="57" xfId="0" applyFont="1" applyFill="1" applyBorder="1" applyAlignment="1">
      <alignment vertical="center"/>
    </xf>
    <xf numFmtId="0" fontId="6" fillId="5" borderId="57" xfId="0" applyFont="1" applyFill="1" applyBorder="1" applyAlignment="1">
      <alignment horizontal="left" vertical="center"/>
    </xf>
    <xf numFmtId="0" fontId="6" fillId="5" borderId="57" xfId="0" applyFont="1" applyFill="1" applyBorder="1" applyAlignment="1">
      <alignment horizontal="left" vertical="center" wrapText="1"/>
    </xf>
    <xf numFmtId="0" fontId="6" fillId="5" borderId="57" xfId="0" applyFont="1" applyFill="1" applyBorder="1" applyAlignment="1" applyProtection="1">
      <alignment horizontal="left" vertical="center" wrapText="1"/>
      <protection locked="0"/>
    </xf>
    <xf numFmtId="0" fontId="6" fillId="5" borderId="51" xfId="0" applyFont="1" applyFill="1" applyBorder="1" applyAlignment="1">
      <alignment horizontal="left" vertical="center"/>
    </xf>
    <xf numFmtId="0" fontId="6" fillId="5" borderId="37" xfId="0" applyFont="1" applyFill="1" applyBorder="1" applyAlignment="1">
      <alignment horizontal="left" vertical="center" wrapText="1"/>
    </xf>
    <xf numFmtId="0" fontId="6" fillId="5" borderId="57" xfId="0" applyFont="1" applyFill="1" applyBorder="1" applyAlignment="1">
      <alignment horizontal="center" vertical="center"/>
    </xf>
    <xf numFmtId="0" fontId="6" fillId="5" borderId="35" xfId="0" applyFont="1" applyFill="1" applyBorder="1" applyAlignment="1">
      <alignment horizontal="left" vertical="center" wrapText="1"/>
    </xf>
    <xf numFmtId="0" fontId="7" fillId="0" borderId="77" xfId="0" applyFont="1" applyFill="1" applyBorder="1" applyAlignment="1">
      <alignment vertical="top"/>
    </xf>
    <xf numFmtId="0" fontId="7" fillId="0" borderId="54" xfId="0" applyFont="1" applyFill="1" applyBorder="1" applyAlignment="1">
      <alignment vertical="top"/>
    </xf>
    <xf numFmtId="1" fontId="7" fillId="14" borderId="55" xfId="0" applyNumberFormat="1" applyFont="1" applyFill="1" applyBorder="1" applyAlignment="1">
      <alignment horizontal="center" vertical="center"/>
    </xf>
    <xf numFmtId="0" fontId="7" fillId="0" borderId="119" xfId="0" applyFont="1" applyFill="1" applyBorder="1" applyAlignment="1">
      <alignment horizontal="left" vertical="top" wrapText="1"/>
    </xf>
    <xf numFmtId="0" fontId="19" fillId="12" borderId="63" xfId="0" applyFont="1" applyFill="1" applyBorder="1" applyAlignment="1">
      <alignment horizontal="center" textRotation="90" wrapText="1"/>
    </xf>
    <xf numFmtId="0" fontId="19" fillId="12" borderId="114" xfId="0" applyFont="1" applyFill="1" applyBorder="1" applyAlignment="1">
      <alignment horizontal="center" textRotation="90" wrapText="1"/>
    </xf>
    <xf numFmtId="0" fontId="7" fillId="0" borderId="44" xfId="0" applyFont="1" applyBorder="1" applyAlignment="1">
      <alignment vertical="center" wrapText="1"/>
    </xf>
    <xf numFmtId="0" fontId="7" fillId="0" borderId="94" xfId="0" applyFont="1" applyBorder="1" applyAlignment="1">
      <alignment vertical="center" wrapText="1"/>
    </xf>
    <xf numFmtId="43" fontId="7" fillId="0" borderId="80" xfId="0" applyNumberFormat="1" applyFont="1" applyBorder="1" applyAlignment="1">
      <alignment horizontal="right" vertical="center" wrapText="1"/>
    </xf>
    <xf numFmtId="43" fontId="7" fillId="0" borderId="90" xfId="0" applyNumberFormat="1" applyFont="1" applyBorder="1" applyAlignment="1">
      <alignment horizontal="right" vertical="center" wrapText="1"/>
    </xf>
    <xf numFmtId="0" fontId="22" fillId="16" borderId="111" xfId="0" applyFont="1" applyFill="1" applyBorder="1" applyAlignment="1">
      <alignment horizontal="left" wrapText="1"/>
    </xf>
    <xf numFmtId="0" fontId="22" fillId="16" borderId="112" xfId="0" applyFont="1" applyFill="1" applyBorder="1" applyAlignment="1">
      <alignment horizontal="left" wrapText="1"/>
    </xf>
    <xf numFmtId="168" fontId="24" fillId="16" borderId="112" xfId="0" applyNumberFormat="1" applyFont="1" applyFill="1" applyBorder="1" applyAlignment="1">
      <alignment horizontal="center" textRotation="90" wrapText="1"/>
    </xf>
    <xf numFmtId="0" fontId="22" fillId="16" borderId="62" xfId="0" applyFont="1" applyFill="1" applyBorder="1" applyAlignment="1">
      <alignment horizontal="left" vertical="center" textRotation="90" wrapText="1"/>
    </xf>
    <xf numFmtId="0" fontId="22" fillId="16" borderId="112" xfId="0" applyFont="1" applyFill="1" applyBorder="1" applyAlignment="1">
      <alignment horizontal="center" textRotation="90" wrapText="1"/>
    </xf>
    <xf numFmtId="0" fontId="6" fillId="16" borderId="9" xfId="0" applyFont="1" applyFill="1" applyBorder="1" applyAlignment="1">
      <alignment vertical="center"/>
    </xf>
    <xf numFmtId="0" fontId="22" fillId="16" borderId="108" xfId="0" applyFont="1" applyFill="1" applyBorder="1" applyAlignment="1">
      <alignment horizontal="left" vertical="center" wrapText="1"/>
    </xf>
    <xf numFmtId="167" fontId="6" fillId="16" borderId="89" xfId="0" applyNumberFormat="1" applyFont="1" applyFill="1" applyBorder="1" applyAlignment="1">
      <alignment horizontal="center" vertical="center"/>
    </xf>
    <xf numFmtId="167" fontId="6" fillId="16" borderId="108" xfId="0" applyNumberFormat="1" applyFont="1" applyFill="1" applyBorder="1" applyAlignment="1">
      <alignment horizontal="center" vertical="center"/>
    </xf>
    <xf numFmtId="167" fontId="6" fillId="16" borderId="103" xfId="0" applyNumberFormat="1" applyFont="1" applyFill="1" applyBorder="1" applyAlignment="1">
      <alignment horizontal="center" vertical="center"/>
    </xf>
    <xf numFmtId="167" fontId="6" fillId="16" borderId="104" xfId="0" applyNumberFormat="1" applyFont="1" applyFill="1" applyBorder="1" applyAlignment="1">
      <alignment horizontal="center" vertical="center"/>
    </xf>
    <xf numFmtId="167" fontId="6" fillId="16" borderId="46" xfId="0" applyNumberFormat="1" applyFont="1" applyFill="1" applyBorder="1" applyAlignment="1">
      <alignment horizontal="center" vertical="center"/>
    </xf>
    <xf numFmtId="2" fontId="6" fillId="16" borderId="16" xfId="0" applyNumberFormat="1" applyFont="1" applyFill="1" applyBorder="1" applyAlignment="1">
      <alignment horizontal="right" vertical="center"/>
    </xf>
    <xf numFmtId="2" fontId="6" fillId="16" borderId="13" xfId="0" applyNumberFormat="1" applyFont="1" applyFill="1" applyBorder="1" applyAlignment="1">
      <alignment horizontal="right" vertical="center" wrapText="1"/>
    </xf>
    <xf numFmtId="168" fontId="24" fillId="16" borderId="113" xfId="0" applyNumberFormat="1" applyFont="1" applyFill="1" applyBorder="1" applyAlignment="1">
      <alignment horizontal="center" textRotation="90" wrapText="1"/>
    </xf>
    <xf numFmtId="0" fontId="22" fillId="16" borderId="68" xfId="0" applyFont="1" applyFill="1" applyBorder="1" applyAlignment="1">
      <alignment horizontal="left" vertical="center" textRotation="90" wrapText="1"/>
    </xf>
    <xf numFmtId="0" fontId="22" fillId="16" borderId="113" xfId="0" applyFont="1" applyFill="1" applyBorder="1" applyAlignment="1">
      <alignment horizontal="center" textRotation="90" wrapText="1"/>
    </xf>
    <xf numFmtId="0" fontId="6" fillId="16" borderId="12" xfId="0" applyFont="1" applyFill="1" applyBorder="1" applyAlignment="1">
      <alignment vertical="center"/>
    </xf>
    <xf numFmtId="0" fontId="6" fillId="16" borderId="122" xfId="0" applyFont="1" applyFill="1" applyBorder="1" applyAlignment="1">
      <alignment vertical="center"/>
    </xf>
    <xf numFmtId="0" fontId="6" fillId="16" borderId="45" xfId="0" applyFont="1" applyFill="1" applyBorder="1" applyAlignment="1">
      <alignment vertical="center"/>
    </xf>
    <xf numFmtId="0" fontId="6" fillId="5" borderId="123" xfId="0" applyFont="1" applyFill="1" applyBorder="1" applyAlignment="1">
      <alignment horizontal="center" vertical="center"/>
    </xf>
    <xf numFmtId="0" fontId="6" fillId="5" borderId="118" xfId="0" applyFont="1" applyFill="1" applyBorder="1" applyAlignment="1">
      <alignment horizontal="center" vertical="center"/>
    </xf>
    <xf numFmtId="0" fontId="6" fillId="16" borderId="34" xfId="0" applyFont="1" applyFill="1" applyBorder="1" applyAlignment="1">
      <alignment vertical="center"/>
    </xf>
    <xf numFmtId="0" fontId="6" fillId="16" borderId="124" xfId="0" applyFont="1" applyFill="1" applyBorder="1" applyAlignment="1">
      <alignment vertical="center"/>
    </xf>
    <xf numFmtId="0" fontId="6" fillId="16" borderId="37" xfId="0" applyFont="1" applyFill="1" applyBorder="1" applyAlignment="1">
      <alignment vertical="center"/>
    </xf>
    <xf numFmtId="2" fontId="7" fillId="4" borderId="7" xfId="0" applyNumberFormat="1" applyFont="1" applyFill="1" applyBorder="1" applyAlignment="1">
      <alignment vertical="center"/>
    </xf>
    <xf numFmtId="2" fontId="7" fillId="4" borderId="126" xfId="0" applyNumberFormat="1" applyFont="1" applyFill="1" applyBorder="1" applyAlignment="1">
      <alignment vertical="center"/>
    </xf>
    <xf numFmtId="2" fontId="7" fillId="4" borderId="125" xfId="0" applyNumberFormat="1" applyFont="1" applyFill="1" applyBorder="1" applyAlignment="1">
      <alignment vertical="center"/>
    </xf>
    <xf numFmtId="2" fontId="7" fillId="4" borderId="107" xfId="0" applyNumberFormat="1" applyFont="1" applyFill="1" applyBorder="1" applyAlignment="1">
      <alignment vertical="center"/>
    </xf>
    <xf numFmtId="167" fontId="7" fillId="4" borderId="107" xfId="0" applyNumberFormat="1" applyFont="1" applyFill="1" applyBorder="1" applyAlignment="1">
      <alignment vertical="center"/>
    </xf>
    <xf numFmtId="2" fontId="7" fillId="4" borderId="127" xfId="0" applyNumberFormat="1" applyFont="1" applyFill="1" applyBorder="1" applyAlignment="1">
      <alignment vertical="center"/>
    </xf>
    <xf numFmtId="2" fontId="7" fillId="4" borderId="128" xfId="0" applyNumberFormat="1" applyFont="1" applyFill="1" applyBorder="1" applyAlignment="1">
      <alignment vertical="center"/>
    </xf>
    <xf numFmtId="10" fontId="7" fillId="4" borderId="129" xfId="0" applyNumberFormat="1" applyFont="1" applyFill="1" applyBorder="1" applyAlignment="1">
      <alignment vertical="center"/>
    </xf>
    <xf numFmtId="10" fontId="7" fillId="4" borderId="96" xfId="0" applyNumberFormat="1" applyFont="1" applyFill="1" applyBorder="1" applyAlignment="1">
      <alignment vertical="center"/>
    </xf>
    <xf numFmtId="2" fontId="7" fillId="4" borderId="78" xfId="0" applyNumberFormat="1" applyFont="1" applyFill="1" applyBorder="1" applyAlignment="1">
      <alignment vertical="center"/>
    </xf>
    <xf numFmtId="2" fontId="7" fillId="4" borderId="66" xfId="0" applyNumberFormat="1" applyFont="1" applyFill="1" applyBorder="1" applyAlignment="1">
      <alignment vertical="center"/>
    </xf>
    <xf numFmtId="2" fontId="7" fillId="4" borderId="121" xfId="0" applyNumberFormat="1" applyFont="1" applyFill="1" applyBorder="1" applyAlignment="1">
      <alignment vertical="center"/>
    </xf>
    <xf numFmtId="10" fontId="7" fillId="4" borderId="130" xfId="0" applyNumberFormat="1" applyFont="1" applyFill="1" applyBorder="1" applyAlignment="1">
      <alignment vertical="center"/>
    </xf>
    <xf numFmtId="2" fontId="7" fillId="4" borderId="74" xfId="0" applyNumberFormat="1" applyFont="1" applyFill="1" applyBorder="1" applyAlignment="1">
      <alignment vertical="center"/>
    </xf>
    <xf numFmtId="167" fontId="7" fillId="4" borderId="15" xfId="0" applyNumberFormat="1" applyFont="1" applyFill="1" applyBorder="1" applyAlignment="1">
      <alignment vertical="center"/>
    </xf>
    <xf numFmtId="167" fontId="7" fillId="4" borderId="108" xfId="0" applyNumberFormat="1" applyFont="1" applyFill="1" applyBorder="1" applyAlignment="1">
      <alignment vertical="center"/>
    </xf>
    <xf numFmtId="2" fontId="7" fillId="4" borderId="131" xfId="0" applyNumberFormat="1" applyFont="1" applyFill="1" applyBorder="1" applyAlignment="1">
      <alignment vertical="center"/>
    </xf>
    <xf numFmtId="2" fontId="7" fillId="4" borderId="108" xfId="0" applyNumberFormat="1" applyFont="1" applyFill="1" applyBorder="1" applyAlignment="1">
      <alignment vertical="center"/>
    </xf>
    <xf numFmtId="2" fontId="7" fillId="4" borderId="15" xfId="0" applyNumberFormat="1" applyFont="1" applyFill="1" applyBorder="1" applyAlignment="1">
      <alignment vertical="center"/>
    </xf>
    <xf numFmtId="2" fontId="7" fillId="4" borderId="32" xfId="0" applyNumberFormat="1" applyFont="1" applyFill="1" applyBorder="1" applyAlignment="1">
      <alignment vertical="center"/>
    </xf>
    <xf numFmtId="2" fontId="7" fillId="4" borderId="132" xfId="0" applyNumberFormat="1" applyFont="1" applyFill="1" applyBorder="1" applyAlignment="1">
      <alignment vertical="center"/>
    </xf>
    <xf numFmtId="10" fontId="7" fillId="4" borderId="94" xfId="0" applyNumberFormat="1" applyFont="1" applyFill="1" applyBorder="1" applyAlignment="1">
      <alignment vertical="center"/>
    </xf>
    <xf numFmtId="2" fontId="7" fillId="4" borderId="133" xfId="0" applyNumberFormat="1" applyFont="1" applyFill="1" applyBorder="1" applyAlignment="1">
      <alignment vertical="center"/>
    </xf>
    <xf numFmtId="9" fontId="7" fillId="4" borderId="134" xfId="0" applyNumberFormat="1" applyFont="1" applyFill="1" applyBorder="1" applyAlignment="1">
      <alignment vertical="center"/>
    </xf>
    <xf numFmtId="0" fontId="7" fillId="9" borderId="74" xfId="0" applyFont="1" applyFill="1" applyBorder="1" applyAlignment="1">
      <alignment horizontal="center" vertical="center"/>
    </xf>
    <xf numFmtId="9" fontId="7" fillId="4" borderId="65" xfId="0" applyNumberFormat="1" applyFont="1" applyFill="1" applyBorder="1" applyAlignment="1">
      <alignment vertical="center"/>
    </xf>
    <xf numFmtId="9" fontId="7" fillId="4" borderId="70" xfId="0" applyNumberFormat="1" applyFont="1" applyFill="1" applyBorder="1" applyAlignment="1">
      <alignment vertical="center"/>
    </xf>
    <xf numFmtId="9" fontId="7" fillId="4" borderId="72" xfId="0" applyNumberFormat="1" applyFont="1" applyFill="1" applyBorder="1" applyAlignment="1">
      <alignment vertical="center"/>
    </xf>
    <xf numFmtId="9" fontId="7" fillId="4" borderId="135" xfId="0" applyNumberFormat="1" applyFont="1" applyFill="1" applyBorder="1" applyAlignment="1">
      <alignment vertical="center"/>
    </xf>
    <xf numFmtId="9" fontId="7" fillId="4" borderId="58" xfId="0" applyNumberFormat="1" applyFont="1" applyFill="1" applyBorder="1" applyAlignment="1">
      <alignment vertical="center"/>
    </xf>
    <xf numFmtId="0" fontId="7" fillId="7" borderId="109" xfId="0" applyFont="1" applyFill="1" applyBorder="1" applyAlignment="1">
      <alignment horizontal="center" vertical="center"/>
    </xf>
    <xf numFmtId="0" fontId="7" fillId="8" borderId="109" xfId="0" applyFont="1" applyFill="1" applyBorder="1" applyAlignment="1">
      <alignment horizontal="center" vertical="center"/>
    </xf>
    <xf numFmtId="0" fontId="7" fillId="6" borderId="136" xfId="0" applyFont="1" applyFill="1" applyBorder="1" applyAlignment="1">
      <alignment horizontal="center" vertical="center"/>
    </xf>
    <xf numFmtId="0" fontId="7" fillId="7" borderId="74" xfId="0" applyFont="1" applyFill="1" applyBorder="1" applyAlignment="1">
      <alignment horizontal="center" vertical="center"/>
    </xf>
    <xf numFmtId="0" fontId="7" fillId="6" borderId="31" xfId="0" applyFont="1" applyFill="1" applyBorder="1" applyAlignment="1">
      <alignment horizontal="center" vertical="center"/>
    </xf>
    <xf numFmtId="0" fontId="7" fillId="8" borderId="74" xfId="0" applyFont="1" applyFill="1" applyBorder="1" applyAlignment="1">
      <alignment horizontal="center" vertical="center"/>
    </xf>
    <xf numFmtId="0" fontId="7" fillId="16" borderId="101" xfId="0" applyFont="1" applyFill="1" applyBorder="1"/>
    <xf numFmtId="0" fontId="7" fillId="16" borderId="11" xfId="0" applyFont="1" applyFill="1" applyBorder="1"/>
    <xf numFmtId="0" fontId="7" fillId="16" borderId="32" xfId="0" applyFont="1" applyFill="1" applyBorder="1"/>
    <xf numFmtId="0" fontId="7" fillId="16" borderId="0" xfId="0" applyFont="1" applyFill="1" applyBorder="1"/>
    <xf numFmtId="0" fontId="7" fillId="5" borderId="0" xfId="0" applyFont="1" applyFill="1" applyBorder="1"/>
    <xf numFmtId="0" fontId="7" fillId="16" borderId="6" xfId="0" applyFont="1" applyFill="1" applyBorder="1"/>
    <xf numFmtId="0" fontId="7" fillId="16" borderId="7" xfId="0" applyFont="1" applyFill="1" applyBorder="1"/>
    <xf numFmtId="0" fontId="7" fillId="16" borderId="94" xfId="0" applyFont="1" applyFill="1" applyBorder="1"/>
    <xf numFmtId="166" fontId="0" fillId="0" borderId="0" xfId="0" applyNumberFormat="1"/>
    <xf numFmtId="0" fontId="24" fillId="0" borderId="28" xfId="0" applyFont="1" applyBorder="1" applyAlignment="1">
      <alignment horizontal="left" vertical="top" wrapText="1"/>
    </xf>
    <xf numFmtId="0" fontId="24" fillId="0" borderId="29" xfId="0" applyFont="1" applyBorder="1" applyAlignment="1">
      <alignment horizontal="left" vertical="top" wrapText="1"/>
    </xf>
    <xf numFmtId="14" fontId="24" fillId="0" borderId="30" xfId="0" applyNumberFormat="1" applyFont="1" applyBorder="1" applyAlignment="1">
      <alignment horizontal="left" vertical="top" wrapText="1"/>
    </xf>
    <xf numFmtId="0" fontId="6" fillId="5" borderId="137" xfId="0" applyFont="1" applyFill="1" applyBorder="1" applyAlignment="1">
      <alignment horizontal="left" vertical="center"/>
    </xf>
    <xf numFmtId="167" fontId="7" fillId="0" borderId="138" xfId="0" applyNumberFormat="1" applyFont="1" applyFill="1" applyBorder="1" applyAlignment="1">
      <alignment horizontal="center" vertical="center"/>
    </xf>
    <xf numFmtId="167" fontId="7" fillId="0" borderId="139" xfId="0" applyNumberFormat="1" applyFont="1" applyFill="1" applyBorder="1" applyAlignment="1">
      <alignment horizontal="center" vertical="center"/>
    </xf>
    <xf numFmtId="167" fontId="7" fillId="0" borderId="140" xfId="0" applyNumberFormat="1" applyFont="1" applyFill="1" applyBorder="1" applyAlignment="1">
      <alignment horizontal="center" vertical="center"/>
    </xf>
    <xf numFmtId="167" fontId="7" fillId="0" borderId="141" xfId="0" applyNumberFormat="1" applyFont="1" applyFill="1" applyBorder="1" applyAlignment="1">
      <alignment horizontal="center" vertical="center"/>
    </xf>
    <xf numFmtId="0" fontId="7" fillId="0" borderId="143" xfId="0" applyFont="1" applyFill="1" applyBorder="1" applyAlignment="1">
      <alignment vertical="top"/>
    </xf>
    <xf numFmtId="2" fontId="7" fillId="4" borderId="52" xfId="0" applyNumberFormat="1" applyFont="1" applyFill="1" applyBorder="1" applyAlignment="1">
      <alignment horizontal="right" vertical="center"/>
    </xf>
    <xf numFmtId="2" fontId="7" fillId="4" borderId="54" xfId="0" applyNumberFormat="1" applyFont="1" applyFill="1" applyBorder="1" applyAlignment="1">
      <alignment horizontal="right" vertical="center"/>
    </xf>
    <xf numFmtId="2" fontId="7" fillId="4" borderId="144" xfId="0" applyNumberFormat="1" applyFont="1" applyFill="1" applyBorder="1" applyAlignment="1">
      <alignment horizontal="right" vertical="center"/>
    </xf>
    <xf numFmtId="2" fontId="7" fillId="4" borderId="46" xfId="0" applyNumberFormat="1" applyFont="1" applyFill="1" applyBorder="1" applyAlignment="1">
      <alignment horizontal="right" vertical="center"/>
    </xf>
    <xf numFmtId="2" fontId="6" fillId="16" borderId="46" xfId="0" applyNumberFormat="1" applyFont="1" applyFill="1" applyBorder="1" applyAlignment="1">
      <alignment horizontal="right" vertical="center"/>
    </xf>
    <xf numFmtId="10" fontId="7" fillId="4" borderId="42" xfId="0" applyNumberFormat="1" applyFont="1" applyFill="1" applyBorder="1" applyAlignment="1">
      <alignment horizontal="right" vertical="center" wrapText="1"/>
    </xf>
    <xf numFmtId="10" fontId="7" fillId="4" borderId="0" xfId="0" applyNumberFormat="1" applyFont="1" applyFill="1" applyBorder="1" applyAlignment="1">
      <alignment horizontal="right" vertical="center" wrapText="1"/>
    </xf>
    <xf numFmtId="10" fontId="7" fillId="4" borderId="75" xfId="0" applyNumberFormat="1" applyFont="1" applyFill="1" applyBorder="1" applyAlignment="1">
      <alignment horizontal="right" vertical="center" wrapText="1"/>
    </xf>
    <xf numFmtId="0" fontId="7" fillId="4" borderId="144" xfId="0" applyFont="1" applyFill="1" applyBorder="1" applyAlignment="1">
      <alignment horizontal="right" vertical="center"/>
    </xf>
    <xf numFmtId="0" fontId="6" fillId="16" borderId="144" xfId="0" applyFont="1" applyFill="1" applyBorder="1" applyAlignment="1">
      <alignment horizontal="right" vertical="center"/>
    </xf>
    <xf numFmtId="0" fontId="6" fillId="4" borderId="147" xfId="0" applyFont="1" applyFill="1" applyBorder="1" applyAlignment="1">
      <alignment horizontal="left" vertical="center"/>
    </xf>
    <xf numFmtId="2" fontId="6" fillId="16" borderId="145" xfId="0" applyNumberFormat="1" applyFont="1" applyFill="1" applyBorder="1" applyAlignment="1">
      <alignment horizontal="left" vertical="center"/>
    </xf>
    <xf numFmtId="0" fontId="19" fillId="12" borderId="148" xfId="0" applyFont="1" applyFill="1" applyBorder="1" applyAlignment="1">
      <alignment horizontal="center" textRotation="90" wrapText="1"/>
    </xf>
    <xf numFmtId="0" fontId="6" fillId="5" borderId="149" xfId="0" applyFont="1" applyFill="1" applyBorder="1" applyAlignment="1">
      <alignment horizontal="left" vertical="center"/>
    </xf>
    <xf numFmtId="0" fontId="6" fillId="4" borderId="146" xfId="0" applyFont="1" applyFill="1" applyBorder="1" applyAlignment="1">
      <alignment horizontal="left" vertical="center"/>
    </xf>
    <xf numFmtId="0" fontId="6" fillId="5" borderId="36" xfId="0" applyFont="1" applyFill="1" applyBorder="1" applyAlignment="1">
      <alignment horizontal="left" vertical="center"/>
    </xf>
    <xf numFmtId="0" fontId="7" fillId="0" borderId="150" xfId="0" applyFont="1" applyFill="1" applyBorder="1" applyAlignment="1">
      <alignment horizontal="left" vertical="top" wrapText="1"/>
    </xf>
    <xf numFmtId="0" fontId="10" fillId="0" borderId="0" xfId="0" applyFont="1" applyAlignment="1">
      <alignment horizontal="left"/>
    </xf>
    <xf numFmtId="0" fontId="20" fillId="0" borderId="0" xfId="0" applyFont="1" applyAlignment="1">
      <alignment horizontal="left"/>
    </xf>
    <xf numFmtId="0" fontId="10" fillId="0" borderId="0" xfId="0" applyFont="1" applyAlignment="1"/>
    <xf numFmtId="0" fontId="21" fillId="0" borderId="0" xfId="0" applyFont="1" applyAlignment="1"/>
    <xf numFmtId="0" fontId="10" fillId="0" borderId="0" xfId="0" applyFont="1" applyAlignment="1">
      <alignment horizontal="left" indent="1"/>
    </xf>
    <xf numFmtId="0" fontId="7" fillId="0" borderId="0" xfId="0" applyFont="1" applyAlignment="1">
      <alignment horizontal="left" wrapText="1" indent="1"/>
    </xf>
    <xf numFmtId="0" fontId="10" fillId="0" borderId="0" xfId="0" applyFont="1" applyAlignment="1">
      <alignment horizontal="left" wrapText="1"/>
    </xf>
    <xf numFmtId="0" fontId="20" fillId="0" borderId="0" xfId="0" applyFont="1" applyAlignment="1">
      <alignment horizontal="center" wrapText="1"/>
    </xf>
    <xf numFmtId="0" fontId="7" fillId="0" borderId="0" xfId="0" applyFont="1" applyAlignment="1">
      <alignment wrapText="1"/>
    </xf>
    <xf numFmtId="0" fontId="0" fillId="0" borderId="0" xfId="0" applyFill="1" applyAlignment="1"/>
    <xf numFmtId="0" fontId="25" fillId="0" borderId="145" xfId="0" applyFont="1" applyBorder="1" applyAlignment="1" applyProtection="1">
      <alignment horizontal="left"/>
    </xf>
    <xf numFmtId="0" fontId="25" fillId="15" borderId="145" xfId="0" applyFont="1" applyFill="1" applyBorder="1" applyAlignment="1" applyProtection="1">
      <alignment horizontal="left"/>
    </xf>
    <xf numFmtId="0" fontId="10" fillId="0" borderId="0" xfId="0" applyFont="1"/>
    <xf numFmtId="0" fontId="16" fillId="5" borderId="0" xfId="0" applyFont="1" applyFill="1" applyBorder="1" applyAlignment="1">
      <alignment horizontal="center" vertical="center"/>
    </xf>
    <xf numFmtId="0" fontId="16" fillId="16" borderId="0" xfId="0" applyFont="1" applyFill="1" applyBorder="1" applyAlignment="1">
      <alignment horizontal="center" vertical="center"/>
    </xf>
    <xf numFmtId="0" fontId="7" fillId="16" borderId="151" xfId="0" applyFont="1" applyFill="1" applyBorder="1"/>
    <xf numFmtId="0" fontId="7" fillId="16" borderId="152" xfId="0" applyFont="1" applyFill="1" applyBorder="1"/>
    <xf numFmtId="0" fontId="7" fillId="14" borderId="0" xfId="0" applyFont="1" applyFill="1" applyBorder="1"/>
    <xf numFmtId="0" fontId="6" fillId="12" borderId="0" xfId="0" applyFont="1" applyFill="1" applyBorder="1" applyAlignment="1">
      <alignment horizontal="center" vertical="center" wrapText="1"/>
    </xf>
    <xf numFmtId="0" fontId="25" fillId="17" borderId="145" xfId="0" applyFont="1" applyFill="1" applyBorder="1" applyAlignment="1" applyProtection="1">
      <alignment horizontal="left"/>
    </xf>
    <xf numFmtId="0" fontId="25" fillId="17" borderId="110" xfId="0" applyFont="1" applyFill="1" applyBorder="1" applyAlignment="1" applyProtection="1">
      <alignment horizontal="left"/>
    </xf>
    <xf numFmtId="0" fontId="22" fillId="16" borderId="156" xfId="0" applyFont="1" applyFill="1" applyBorder="1" applyAlignment="1">
      <alignment horizontal="left" vertical="center" wrapText="1"/>
    </xf>
    <xf numFmtId="0" fontId="0" fillId="0" borderId="54" xfId="0" applyBorder="1" applyAlignment="1">
      <alignment vertical="top"/>
    </xf>
    <xf numFmtId="0" fontId="22" fillId="16" borderId="157" xfId="0" applyFont="1" applyFill="1" applyBorder="1" applyAlignment="1">
      <alignment horizontal="left" vertical="center" wrapText="1"/>
    </xf>
    <xf numFmtId="0" fontId="0" fillId="0" borderId="11" xfId="0" applyBorder="1"/>
    <xf numFmtId="0" fontId="6" fillId="16" borderId="62" xfId="0" applyFont="1" applyFill="1" applyBorder="1" applyAlignment="1">
      <alignment horizontal="left" vertical="top" wrapText="1"/>
    </xf>
    <xf numFmtId="0" fontId="7" fillId="4" borderId="144" xfId="0" applyFont="1" applyFill="1" applyBorder="1"/>
    <xf numFmtId="0" fontId="6" fillId="5" borderId="159" xfId="0" applyFont="1" applyFill="1" applyBorder="1" applyAlignment="1">
      <alignment horizontal="left" vertical="center" wrapText="1"/>
    </xf>
    <xf numFmtId="0" fontId="22" fillId="16" borderId="144" xfId="0" applyFont="1" applyFill="1" applyBorder="1" applyAlignment="1">
      <alignment horizontal="left" vertical="center" wrapText="1"/>
    </xf>
    <xf numFmtId="0" fontId="22" fillId="16" borderId="157" xfId="0" applyFont="1" applyFill="1" applyBorder="1" applyAlignment="1">
      <alignment horizontal="center" vertical="center" wrapText="1"/>
    </xf>
    <xf numFmtId="0" fontId="22" fillId="16" borderId="152" xfId="0" applyFont="1" applyFill="1" applyBorder="1" applyAlignment="1">
      <alignment horizontal="left" vertical="center" wrapText="1"/>
    </xf>
    <xf numFmtId="0" fontId="22" fillId="16" borderId="160" xfId="0" applyFont="1" applyFill="1" applyBorder="1" applyAlignment="1">
      <alignment horizontal="left" vertical="center" wrapText="1"/>
    </xf>
    <xf numFmtId="0" fontId="7" fillId="4" borderId="95" xfId="0" applyFont="1" applyFill="1" applyBorder="1"/>
    <xf numFmtId="0" fontId="6" fillId="5" borderId="161" xfId="0" applyFont="1" applyFill="1" applyBorder="1" applyAlignment="1">
      <alignment horizontal="left" vertical="center" wrapText="1"/>
    </xf>
    <xf numFmtId="0" fontId="22" fillId="16" borderId="162" xfId="0" applyFont="1" applyFill="1" applyBorder="1" applyAlignment="1">
      <alignment horizontal="left" vertical="center" wrapText="1"/>
    </xf>
    <xf numFmtId="0" fontId="22" fillId="16" borderId="163" xfId="0" applyFont="1" applyFill="1" applyBorder="1" applyAlignment="1">
      <alignment horizontal="left" vertical="center" wrapText="1"/>
    </xf>
    <xf numFmtId="0" fontId="7" fillId="4" borderId="144" xfId="0" applyFont="1" applyFill="1" applyBorder="1" applyAlignment="1" applyProtection="1">
      <alignment wrapText="1"/>
      <protection locked="0"/>
    </xf>
    <xf numFmtId="0" fontId="6" fillId="5" borderId="159" xfId="0" applyFont="1" applyFill="1" applyBorder="1" applyAlignment="1" applyProtection="1">
      <alignment horizontal="left" vertical="center" wrapText="1"/>
      <protection locked="0"/>
    </xf>
    <xf numFmtId="0" fontId="22" fillId="16" borderId="106" xfId="0" applyFont="1" applyFill="1" applyBorder="1" applyAlignment="1">
      <alignment horizontal="left" vertical="center" wrapText="1"/>
    </xf>
    <xf numFmtId="0" fontId="7" fillId="0" borderId="164" xfId="0" applyFont="1" applyFill="1" applyBorder="1" applyAlignment="1" applyProtection="1">
      <alignment horizontal="left" vertical="top" wrapText="1"/>
      <protection locked="0"/>
    </xf>
    <xf numFmtId="0" fontId="7" fillId="0" borderId="165" xfId="0" applyFont="1" applyFill="1" applyBorder="1" applyAlignment="1" applyProtection="1">
      <alignment horizontal="left" vertical="top" wrapText="1"/>
      <protection locked="0"/>
    </xf>
    <xf numFmtId="0" fontId="7" fillId="0" borderId="166" xfId="0" applyFont="1" applyFill="1" applyBorder="1" applyAlignment="1" applyProtection="1">
      <alignment horizontal="left" vertical="top" wrapText="1"/>
      <protection locked="0"/>
    </xf>
    <xf numFmtId="0" fontId="7" fillId="0" borderId="167" xfId="0" applyFont="1" applyFill="1" applyBorder="1" applyAlignment="1" applyProtection="1">
      <alignment horizontal="left" vertical="top" wrapText="1"/>
      <protection locked="0"/>
    </xf>
    <xf numFmtId="0" fontId="7" fillId="0" borderId="168" xfId="0" applyFont="1" applyFill="1" applyBorder="1" applyAlignment="1" applyProtection="1">
      <alignment horizontal="left" vertical="top" wrapText="1"/>
      <protection locked="0"/>
    </xf>
    <xf numFmtId="0" fontId="0" fillId="0" borderId="0" xfId="0" applyAlignment="1">
      <alignment horizontal="left"/>
    </xf>
    <xf numFmtId="0" fontId="0" fillId="0" borderId="0" xfId="0" applyAlignment="1">
      <alignment horizontal="left" indent="1"/>
    </xf>
    <xf numFmtId="0" fontId="0" fillId="0" borderId="0" xfId="0" quotePrefix="1" applyBorder="1"/>
    <xf numFmtId="0" fontId="7" fillId="0" borderId="0" xfId="0" applyFont="1" applyBorder="1"/>
    <xf numFmtId="166" fontId="7" fillId="0" borderId="152" xfId="0" applyNumberFormat="1" applyFont="1" applyBorder="1" applyAlignment="1">
      <alignment vertical="top"/>
    </xf>
    <xf numFmtId="166" fontId="7" fillId="0" borderId="142" xfId="0" applyNumberFormat="1" applyFont="1" applyBorder="1" applyAlignment="1">
      <alignment vertical="top"/>
    </xf>
    <xf numFmtId="0" fontId="6" fillId="16" borderId="89" xfId="0" applyFont="1" applyFill="1" applyBorder="1" applyAlignment="1">
      <alignment vertical="top"/>
    </xf>
    <xf numFmtId="0" fontId="6" fillId="14" borderId="145" xfId="0" applyFont="1" applyFill="1" applyBorder="1" applyAlignment="1">
      <alignment vertical="top"/>
    </xf>
    <xf numFmtId="0" fontId="32" fillId="14" borderId="0" xfId="0" applyFont="1" applyFill="1"/>
    <xf numFmtId="0" fontId="6" fillId="16" borderId="151" xfId="0" applyNumberFormat="1" applyFont="1" applyFill="1" applyBorder="1" applyAlignment="1">
      <alignment vertical="top"/>
    </xf>
    <xf numFmtId="0" fontId="6" fillId="16" borderId="145" xfId="0" applyNumberFormat="1" applyFont="1" applyFill="1" applyBorder="1" applyAlignment="1">
      <alignment vertical="top"/>
    </xf>
    <xf numFmtId="166" fontId="7" fillId="0" borderId="144" xfId="0" applyNumberFormat="1" applyFont="1" applyBorder="1" applyAlignment="1">
      <alignment vertical="top"/>
    </xf>
    <xf numFmtId="166" fontId="7" fillId="0" borderId="145" xfId="0" applyNumberFormat="1" applyFont="1" applyBorder="1" applyAlignment="1">
      <alignment vertical="top"/>
    </xf>
    <xf numFmtId="166" fontId="7" fillId="0" borderId="147" xfId="0" applyNumberFormat="1" applyFont="1" applyBorder="1" applyAlignment="1">
      <alignment vertical="top"/>
    </xf>
    <xf numFmtId="0" fontId="6" fillId="16" borderId="146" xfId="0" applyNumberFormat="1" applyFont="1" applyFill="1" applyBorder="1" applyAlignment="1">
      <alignment vertical="top"/>
    </xf>
    <xf numFmtId="2" fontId="7" fillId="0" borderId="142" xfId="0" applyNumberFormat="1" applyFont="1" applyBorder="1" applyAlignment="1">
      <alignment vertical="top"/>
    </xf>
    <xf numFmtId="2" fontId="7" fillId="0" borderId="146" xfId="0" applyNumberFormat="1" applyFont="1" applyBorder="1" applyAlignment="1">
      <alignment horizontal="right" vertical="top"/>
    </xf>
    <xf numFmtId="2" fontId="7" fillId="0" borderId="145" xfId="0" applyNumberFormat="1" applyFont="1" applyBorder="1" applyAlignment="1">
      <alignment horizontal="right" vertical="top"/>
    </xf>
    <xf numFmtId="166" fontId="7" fillId="0" borderId="146" xfId="0" pivotButton="1" applyNumberFormat="1" applyFont="1" applyBorder="1" applyAlignment="1">
      <alignment vertical="top"/>
    </xf>
    <xf numFmtId="166" fontId="7" fillId="0" borderId="144" xfId="0" pivotButton="1" applyNumberFormat="1" applyFont="1" applyBorder="1" applyAlignment="1">
      <alignment vertical="top"/>
    </xf>
    <xf numFmtId="2" fontId="7" fillId="0" borderId="145" xfId="0" applyNumberFormat="1" applyFont="1" applyBorder="1" applyAlignment="1">
      <alignment vertical="top"/>
    </xf>
    <xf numFmtId="0" fontId="6" fillId="16" borderId="169" xfId="0" applyFont="1" applyFill="1" applyBorder="1" applyAlignment="1">
      <alignment vertical="top"/>
    </xf>
    <xf numFmtId="0" fontId="6" fillId="16" borderId="62" xfId="0" applyFont="1" applyFill="1" applyBorder="1" applyAlignment="1">
      <alignment horizontal="left" vertical="top"/>
    </xf>
    <xf numFmtId="0" fontId="6" fillId="16" borderId="68" xfId="0" applyFont="1" applyFill="1" applyBorder="1" applyAlignment="1">
      <alignment horizontal="left" vertical="top" wrapText="1"/>
    </xf>
    <xf numFmtId="0" fontId="6" fillId="16" borderId="121" xfId="0" applyFont="1" applyFill="1" applyBorder="1" applyAlignment="1">
      <alignment horizontal="left" vertical="top" wrapText="1"/>
    </xf>
    <xf numFmtId="2" fontId="7" fillId="4" borderId="158" xfId="0" applyNumberFormat="1" applyFont="1" applyFill="1" applyBorder="1" applyAlignment="1">
      <alignment horizontal="right" vertical="top"/>
    </xf>
    <xf numFmtId="2" fontId="7" fillId="0" borderId="171" xfId="0" applyNumberFormat="1" applyFont="1" applyFill="1" applyBorder="1" applyAlignment="1">
      <alignment horizontal="right" vertical="top"/>
    </xf>
    <xf numFmtId="2" fontId="7" fillId="0" borderId="171" xfId="0" applyNumberFormat="1" applyFont="1" applyFill="1" applyBorder="1" applyAlignment="1">
      <alignment horizontal="right" vertical="top" wrapText="1"/>
    </xf>
    <xf numFmtId="2" fontId="7" fillId="4" borderId="171" xfId="0" applyNumberFormat="1" applyFont="1" applyFill="1" applyBorder="1" applyAlignment="1">
      <alignment horizontal="right" vertical="top"/>
    </xf>
    <xf numFmtId="9" fontId="24" fillId="2" borderId="171" xfId="156" applyFont="1" applyFill="1" applyBorder="1" applyAlignment="1" applyProtection="1">
      <alignment horizontal="center" vertical="center" wrapText="1"/>
    </xf>
    <xf numFmtId="2" fontId="24" fillId="2" borderId="171" xfId="0" applyNumberFormat="1" applyFont="1" applyFill="1" applyBorder="1" applyAlignment="1" applyProtection="1">
      <alignment horizontal="center" vertical="center" wrapText="1"/>
    </xf>
    <xf numFmtId="2" fontId="7" fillId="4" borderId="176" xfId="0" applyNumberFormat="1" applyFont="1" applyFill="1" applyBorder="1" applyAlignment="1">
      <alignment horizontal="right" vertical="top"/>
    </xf>
    <xf numFmtId="2" fontId="7" fillId="0" borderId="158" xfId="0" applyNumberFormat="1" applyFont="1" applyFill="1" applyBorder="1" applyAlignment="1">
      <alignment horizontal="right" vertical="top"/>
    </xf>
    <xf numFmtId="2" fontId="7" fillId="0" borderId="158" xfId="0" applyNumberFormat="1" applyFont="1" applyFill="1" applyBorder="1" applyAlignment="1">
      <alignment horizontal="right" vertical="top" wrapText="1"/>
    </xf>
    <xf numFmtId="9" fontId="24" fillId="2" borderId="158" xfId="156" applyFont="1" applyFill="1" applyBorder="1" applyAlignment="1" applyProtection="1">
      <alignment horizontal="center" vertical="center" wrapText="1"/>
    </xf>
    <xf numFmtId="2" fontId="24" fillId="2" borderId="158" xfId="0" applyNumberFormat="1" applyFont="1" applyFill="1" applyBorder="1" applyAlignment="1" applyProtection="1">
      <alignment horizontal="center" vertical="center" wrapText="1"/>
    </xf>
    <xf numFmtId="2" fontId="7" fillId="0" borderId="176" xfId="0" applyNumberFormat="1" applyFont="1" applyFill="1" applyBorder="1" applyAlignment="1">
      <alignment horizontal="right" vertical="top"/>
    </xf>
    <xf numFmtId="2" fontId="7" fillId="0" borderId="176" xfId="0" applyNumberFormat="1" applyFont="1" applyFill="1" applyBorder="1" applyAlignment="1">
      <alignment horizontal="right" vertical="top" wrapText="1"/>
    </xf>
    <xf numFmtId="9" fontId="24" fillId="2" borderId="176" xfId="156" applyFont="1" applyFill="1" applyBorder="1" applyAlignment="1" applyProtection="1">
      <alignment horizontal="center" vertical="center" wrapText="1"/>
    </xf>
    <xf numFmtId="2" fontId="24" fillId="2" borderId="176" xfId="0" applyNumberFormat="1" applyFont="1" applyFill="1" applyBorder="1" applyAlignment="1" applyProtection="1">
      <alignment horizontal="center" vertical="center" wrapText="1"/>
    </xf>
    <xf numFmtId="0" fontId="7" fillId="0" borderId="172" xfId="0" applyNumberFormat="1" applyFont="1" applyFill="1" applyBorder="1" applyAlignment="1">
      <alignment horizontal="right" vertical="top" wrapText="1"/>
    </xf>
    <xf numFmtId="0" fontId="7" fillId="0" borderId="174" xfId="0" applyNumberFormat="1" applyFont="1" applyFill="1" applyBorder="1" applyAlignment="1">
      <alignment horizontal="right" vertical="top" wrapText="1"/>
    </xf>
    <xf numFmtId="0" fontId="7" fillId="0" borderId="177" xfId="0" applyNumberFormat="1" applyFont="1" applyFill="1" applyBorder="1" applyAlignment="1">
      <alignment horizontal="right" vertical="top" wrapText="1"/>
    </xf>
    <xf numFmtId="166" fontId="7" fillId="0" borderId="173" xfId="0" applyNumberFormat="1" applyFont="1" applyBorder="1"/>
    <xf numFmtId="0" fontId="7" fillId="0" borderId="175" xfId="0" applyFont="1" applyBorder="1"/>
    <xf numFmtId="0" fontId="7" fillId="0" borderId="178" xfId="0" applyFont="1" applyBorder="1"/>
    <xf numFmtId="0" fontId="7" fillId="0" borderId="158" xfId="0" applyFont="1" applyBorder="1"/>
    <xf numFmtId="0" fontId="7" fillId="0" borderId="179" xfId="0" applyFont="1" applyBorder="1"/>
    <xf numFmtId="0" fontId="7" fillId="0" borderId="180" xfId="0" applyFont="1" applyBorder="1"/>
    <xf numFmtId="0" fontId="7" fillId="0" borderId="181" xfId="0" applyFont="1" applyBorder="1"/>
    <xf numFmtId="0" fontId="7" fillId="0" borderId="182" xfId="0" applyFont="1" applyBorder="1"/>
    <xf numFmtId="0" fontId="24" fillId="0" borderId="170" xfId="0" applyFont="1" applyBorder="1" applyAlignment="1">
      <alignment horizontal="left" vertical="top" wrapText="1"/>
    </xf>
    <xf numFmtId="0" fontId="7" fillId="0" borderId="183" xfId="0" applyFont="1" applyFill="1" applyBorder="1" applyAlignment="1">
      <alignment horizontal="left" vertical="top" wrapText="1"/>
    </xf>
    <xf numFmtId="0" fontId="7" fillId="0" borderId="184" xfId="0" applyFont="1" applyFill="1" applyBorder="1" applyAlignment="1">
      <alignment horizontal="left" vertical="top" wrapText="1"/>
    </xf>
    <xf numFmtId="0" fontId="7" fillId="0" borderId="185" xfId="0" applyFont="1" applyFill="1" applyBorder="1" applyAlignment="1">
      <alignment horizontal="left" vertical="top" wrapText="1"/>
    </xf>
    <xf numFmtId="0" fontId="7" fillId="0" borderId="186" xfId="0" applyFont="1" applyFill="1" applyBorder="1" applyAlignment="1">
      <alignment horizontal="left" vertical="top" wrapText="1"/>
    </xf>
    <xf numFmtId="0" fontId="7" fillId="0" borderId="187" xfId="0" applyFont="1" applyFill="1" applyBorder="1" applyAlignment="1">
      <alignment horizontal="left" vertical="top" wrapText="1"/>
    </xf>
    <xf numFmtId="0" fontId="7" fillId="0" borderId="188" xfId="0" applyFont="1" applyFill="1" applyBorder="1" applyAlignment="1">
      <alignment horizontal="left" vertical="top" wrapText="1"/>
    </xf>
    <xf numFmtId="166" fontId="7" fillId="0" borderId="0" xfId="0" pivotButton="1" applyNumberFormat="1" applyFont="1" applyAlignment="1">
      <alignment vertical="top"/>
    </xf>
    <xf numFmtId="166" fontId="7" fillId="0" borderId="0" xfId="0" applyNumberFormat="1" applyFont="1" applyAlignment="1">
      <alignment vertical="top"/>
    </xf>
    <xf numFmtId="2" fontId="7" fillId="0" borderId="94" xfId="0" applyNumberFormat="1" applyFont="1" applyBorder="1" applyAlignment="1">
      <alignment vertical="top"/>
    </xf>
    <xf numFmtId="0" fontId="7" fillId="0" borderId="189" xfId="0" applyFont="1" applyBorder="1"/>
    <xf numFmtId="0" fontId="7" fillId="0" borderId="190" xfId="0" applyFont="1" applyBorder="1"/>
    <xf numFmtId="0" fontId="7" fillId="0" borderId="191" xfId="0" applyFont="1" applyBorder="1"/>
    <xf numFmtId="0" fontId="22" fillId="16" borderId="192" xfId="0" applyFont="1" applyFill="1" applyBorder="1" applyAlignment="1">
      <alignment horizontal="left" wrapText="1"/>
    </xf>
    <xf numFmtId="0" fontId="22" fillId="16" borderId="193" xfId="0" applyFont="1" applyFill="1" applyBorder="1" applyAlignment="1">
      <alignment horizontal="left" wrapText="1"/>
    </xf>
    <xf numFmtId="0" fontId="22" fillId="16" borderId="194" xfId="0" applyFont="1" applyFill="1" applyBorder="1" applyAlignment="1">
      <alignment horizontal="left" wrapText="1"/>
    </xf>
    <xf numFmtId="0" fontId="0" fillId="4" borderId="195" xfId="0" applyFill="1" applyBorder="1" applyAlignment="1">
      <alignment vertical="center"/>
    </xf>
    <xf numFmtId="0" fontId="0" fillId="4" borderId="196" xfId="0" applyFill="1" applyBorder="1" applyAlignment="1">
      <alignment vertical="center"/>
    </xf>
    <xf numFmtId="0" fontId="34" fillId="17" borderId="145" xfId="0" applyFont="1" applyFill="1" applyBorder="1" applyAlignment="1" applyProtection="1">
      <alignment horizontal="left"/>
    </xf>
    <xf numFmtId="0" fontId="33" fillId="17" borderId="145" xfId="0" applyFont="1" applyFill="1" applyBorder="1" applyAlignment="1" applyProtection="1">
      <alignment horizontal="left"/>
    </xf>
    <xf numFmtId="2" fontId="7" fillId="0" borderId="197" xfId="0" applyNumberFormat="1" applyFont="1" applyBorder="1" applyAlignment="1">
      <alignment vertical="top"/>
    </xf>
    <xf numFmtId="166" fontId="7" fillId="0" borderId="6" xfId="0" pivotButton="1" applyNumberFormat="1" applyFont="1" applyBorder="1" applyAlignment="1">
      <alignment vertical="top"/>
    </xf>
    <xf numFmtId="0" fontId="7" fillId="0" borderId="120" xfId="0" applyFont="1" applyBorder="1" applyAlignment="1">
      <alignment vertical="top" wrapText="1"/>
    </xf>
    <xf numFmtId="0" fontId="7" fillId="0" borderId="44" xfId="0" applyFont="1" applyBorder="1" applyAlignment="1">
      <alignment vertical="top" wrapText="1"/>
    </xf>
    <xf numFmtId="166" fontId="7" fillId="0" borderId="198" xfId="0" applyNumberFormat="1" applyFont="1" applyBorder="1" applyAlignment="1">
      <alignment horizontal="center" vertical="center" wrapText="1"/>
    </xf>
    <xf numFmtId="0" fontId="35" fillId="0" borderId="0" xfId="0" applyFont="1"/>
    <xf numFmtId="166" fontId="7" fillId="0" borderId="169" xfId="0" applyNumberFormat="1" applyFont="1" applyBorder="1" applyAlignment="1">
      <alignment horizontal="center" vertical="center" wrapText="1"/>
    </xf>
    <xf numFmtId="0" fontId="7" fillId="0" borderId="199" xfId="0" applyFont="1" applyFill="1" applyBorder="1" applyAlignment="1">
      <alignment horizontal="left" vertical="top" wrapText="1"/>
    </xf>
    <xf numFmtId="0" fontId="7" fillId="0" borderId="200" xfId="0" applyFont="1" applyFill="1" applyBorder="1" applyAlignment="1">
      <alignment horizontal="left" vertical="top" wrapText="1"/>
    </xf>
    <xf numFmtId="0" fontId="7" fillId="0" borderId="201" xfId="0" applyFont="1" applyFill="1" applyBorder="1" applyAlignment="1" applyProtection="1">
      <alignment horizontal="left" vertical="top" wrapText="1"/>
      <protection locked="0"/>
    </xf>
    <xf numFmtId="0" fontId="7" fillId="0" borderId="158" xfId="0" applyFont="1" applyFill="1" applyBorder="1" applyAlignment="1">
      <alignment horizontal="left" vertical="top" wrapText="1"/>
    </xf>
    <xf numFmtId="0" fontId="7" fillId="0" borderId="179" xfId="0" applyFont="1" applyFill="1" applyBorder="1" applyAlignment="1">
      <alignment horizontal="left" vertical="top" wrapText="1"/>
    </xf>
    <xf numFmtId="0" fontId="6" fillId="5" borderId="0" xfId="0" applyFont="1" applyFill="1" applyBorder="1" applyAlignment="1" applyProtection="1">
      <alignment horizontal="left" vertical="center" wrapText="1"/>
      <protection locked="0"/>
    </xf>
    <xf numFmtId="0" fontId="6" fillId="5" borderId="0" xfId="0" applyFont="1" applyFill="1" applyBorder="1" applyAlignment="1">
      <alignment horizontal="left" vertical="center" wrapText="1"/>
    </xf>
    <xf numFmtId="0" fontId="0" fillId="4" borderId="202" xfId="0" applyFill="1" applyBorder="1" applyAlignment="1">
      <alignment vertical="center"/>
    </xf>
    <xf numFmtId="0" fontId="7" fillId="0" borderId="203" xfId="0" applyFont="1" applyFill="1" applyBorder="1" applyAlignment="1">
      <alignment horizontal="left" vertical="top" wrapText="1"/>
    </xf>
    <xf numFmtId="0" fontId="7" fillId="0" borderId="190" xfId="0" applyFont="1" applyFill="1" applyBorder="1" applyAlignment="1">
      <alignment horizontal="left" vertical="top" wrapText="1"/>
    </xf>
    <xf numFmtId="0" fontId="7" fillId="0" borderId="191" xfId="0" applyFont="1" applyFill="1" applyBorder="1" applyAlignment="1">
      <alignment horizontal="left" vertical="top" wrapText="1"/>
    </xf>
    <xf numFmtId="0" fontId="22" fillId="16" borderId="204" xfId="0" applyFont="1" applyFill="1" applyBorder="1" applyAlignment="1">
      <alignment horizontal="left" wrapText="1"/>
    </xf>
    <xf numFmtId="0" fontId="22" fillId="16" borderId="205" xfId="0" applyFont="1" applyFill="1" applyBorder="1" applyAlignment="1">
      <alignment horizontal="left" wrapText="1"/>
    </xf>
    <xf numFmtId="0" fontId="22" fillId="16" borderId="206" xfId="0" applyFont="1" applyFill="1" applyBorder="1" applyAlignment="1">
      <alignment horizontal="left" wrapText="1"/>
    </xf>
    <xf numFmtId="0" fontId="22" fillId="16" borderId="207" xfId="0" applyFont="1" applyFill="1" applyBorder="1" applyAlignment="1">
      <alignment horizontal="left" wrapText="1"/>
    </xf>
    <xf numFmtId="0" fontId="15" fillId="5" borderId="85" xfId="0" applyFont="1" applyFill="1" applyBorder="1" applyAlignment="1">
      <alignment horizontal="centerContinuous"/>
    </xf>
    <xf numFmtId="0" fontId="15" fillId="5" borderId="86" xfId="0" applyFont="1" applyFill="1" applyBorder="1" applyAlignment="1">
      <alignment horizontal="centerContinuous"/>
    </xf>
    <xf numFmtId="0" fontId="15" fillId="5" borderId="87" xfId="0" applyFont="1" applyFill="1" applyBorder="1" applyAlignment="1">
      <alignment horizontal="centerContinuous"/>
    </xf>
    <xf numFmtId="0" fontId="15" fillId="5" borderId="88" xfId="0" applyFont="1" applyFill="1" applyBorder="1" applyAlignment="1">
      <alignment horizontal="centerContinuous"/>
    </xf>
    <xf numFmtId="2" fontId="0" fillId="4" borderId="82" xfId="0" applyNumberFormat="1" applyFill="1" applyBorder="1" applyAlignment="1">
      <alignment horizontal="centerContinuous"/>
    </xf>
    <xf numFmtId="2" fontId="0" fillId="4" borderId="50" xfId="0" applyNumberFormat="1" applyFill="1" applyBorder="1" applyAlignment="1">
      <alignment horizontal="centerContinuous"/>
    </xf>
    <xf numFmtId="2" fontId="0" fillId="4" borderId="83" xfId="0" applyNumberFormat="1" applyFill="1" applyBorder="1" applyAlignment="1">
      <alignment horizontal="centerContinuous"/>
    </xf>
    <xf numFmtId="2" fontId="0" fillId="12" borderId="83" xfId="0" applyNumberFormat="1" applyFill="1" applyBorder="1" applyAlignment="1">
      <alignment horizontal="centerContinuous"/>
    </xf>
    <xf numFmtId="2" fontId="0" fillId="12" borderId="5" xfId="0" applyNumberFormat="1" applyFill="1" applyBorder="1" applyAlignment="1">
      <alignment horizontal="centerContinuous"/>
    </xf>
    <xf numFmtId="0" fontId="22" fillId="16" borderId="51" xfId="0" applyFont="1" applyFill="1" applyBorder="1" applyAlignment="1">
      <alignment horizontal="left" vertical="center" wrapText="1"/>
    </xf>
    <xf numFmtId="0" fontId="24" fillId="0" borderId="24" xfId="0" applyFont="1" applyBorder="1" applyAlignment="1">
      <alignment horizontal="left" vertical="top" wrapText="1"/>
    </xf>
    <xf numFmtId="0" fontId="24" fillId="0" borderId="25" xfId="0" applyFont="1" applyBorder="1" applyAlignment="1">
      <alignment horizontal="left" vertical="top" wrapText="1"/>
    </xf>
    <xf numFmtId="0" fontId="24" fillId="0" borderId="155" xfId="0" applyFont="1" applyBorder="1" applyAlignment="1">
      <alignment horizontal="left" vertical="top" wrapText="1"/>
    </xf>
    <xf numFmtId="0" fontId="24" fillId="0" borderId="20" xfId="0" applyFont="1" applyBorder="1" applyAlignment="1">
      <alignment horizontal="left" vertical="top" wrapText="1"/>
    </xf>
    <xf numFmtId="0" fontId="24" fillId="0" borderId="21" xfId="0" applyFont="1" applyBorder="1" applyAlignment="1">
      <alignment horizontal="left" vertical="top" wrapText="1"/>
    </xf>
    <xf numFmtId="0" fontId="24" fillId="0" borderId="153" xfId="0" applyFont="1" applyBorder="1" applyAlignment="1">
      <alignment horizontal="left" vertical="top" wrapText="1"/>
    </xf>
    <xf numFmtId="0" fontId="24" fillId="0" borderId="22" xfId="0" applyFont="1" applyBorder="1" applyAlignment="1">
      <alignment horizontal="left" vertical="top" wrapText="1"/>
    </xf>
    <xf numFmtId="0" fontId="24" fillId="0" borderId="23" xfId="0" applyFont="1" applyBorder="1" applyAlignment="1">
      <alignment horizontal="left" vertical="top" wrapText="1"/>
    </xf>
    <xf numFmtId="0" fontId="24" fillId="0" borderId="154" xfId="0" applyFont="1" applyBorder="1" applyAlignment="1">
      <alignment horizontal="left" vertical="top" wrapText="1"/>
    </xf>
    <xf numFmtId="0" fontId="24" fillId="0" borderId="56" xfId="0" applyFont="1" applyBorder="1" applyAlignment="1">
      <alignment horizontal="left" vertical="top" wrapText="1"/>
    </xf>
    <xf numFmtId="0" fontId="24" fillId="0" borderId="53" xfId="0" applyFont="1" applyBorder="1" applyAlignment="1">
      <alignment horizontal="left" vertical="top" wrapText="1"/>
    </xf>
    <xf numFmtId="0" fontId="24" fillId="0" borderId="129" xfId="0" applyFont="1" applyBorder="1" applyAlignment="1">
      <alignment horizontal="left" vertical="top" wrapText="1"/>
    </xf>
    <xf numFmtId="0" fontId="24" fillId="0" borderId="60" xfId="0" applyFont="1" applyBorder="1" applyAlignment="1">
      <alignment horizontal="left" vertical="top" wrapText="1"/>
    </xf>
    <xf numFmtId="0" fontId="22" fillId="16" borderId="36" xfId="0" applyFont="1" applyFill="1" applyBorder="1" applyAlignment="1">
      <alignment horizontal="left" vertical="center" wrapText="1"/>
    </xf>
    <xf numFmtId="0" fontId="22" fillId="16" borderId="51" xfId="0" applyFont="1" applyFill="1" applyBorder="1" applyAlignment="1">
      <alignment horizontal="left" vertical="center" wrapText="1"/>
    </xf>
    <xf numFmtId="0" fontId="6" fillId="0" borderId="38" xfId="0" applyFont="1" applyBorder="1" applyAlignment="1">
      <alignment vertical="center" wrapText="1"/>
    </xf>
    <xf numFmtId="0" fontId="6" fillId="0" borderId="52" xfId="0" applyFont="1" applyBorder="1" applyAlignment="1">
      <alignment vertical="center" wrapText="1"/>
    </xf>
    <xf numFmtId="0" fontId="22" fillId="16" borderId="57" xfId="0" applyFont="1" applyFill="1" applyBorder="1" applyAlignment="1">
      <alignment horizontal="left" vertical="center" wrapText="1"/>
    </xf>
    <xf numFmtId="0" fontId="7" fillId="4" borderId="11" xfId="0" applyFont="1" applyFill="1" applyBorder="1" applyAlignment="1">
      <alignment vertical="center"/>
    </xf>
    <xf numFmtId="0" fontId="7" fillId="4" borderId="0" xfId="0" applyFont="1" applyFill="1" applyBorder="1" applyAlignment="1">
      <alignment vertical="center"/>
    </xf>
    <xf numFmtId="0" fontId="7" fillId="4" borderId="55" xfId="0" applyFont="1" applyFill="1" applyBorder="1" applyAlignment="1">
      <alignment vertical="center"/>
    </xf>
    <xf numFmtId="0" fontId="7" fillId="0" borderId="32" xfId="0" applyFont="1" applyBorder="1" applyAlignment="1">
      <alignment horizontal="left" vertical="top" wrapText="1"/>
    </xf>
    <xf numFmtId="0" fontId="7" fillId="0" borderId="8" xfId="0" applyFont="1" applyBorder="1" applyAlignment="1">
      <alignment horizontal="left" vertical="top" wrapText="1"/>
    </xf>
    <xf numFmtId="0" fontId="22" fillId="16" borderId="9" xfId="0" applyFont="1" applyFill="1" applyBorder="1" applyAlignment="1">
      <alignment horizontal="left" vertical="center" wrapText="1"/>
    </xf>
    <xf numFmtId="0" fontId="22" fillId="16" borderId="95" xfId="0" applyFont="1" applyFill="1" applyBorder="1" applyAlignment="1">
      <alignment horizontal="left" vertical="center" wrapText="1"/>
    </xf>
    <xf numFmtId="0" fontId="22" fillId="16" borderId="36" xfId="0" applyFont="1" applyFill="1" applyBorder="1" applyAlignment="1">
      <alignment horizontal="center" vertical="center" wrapText="1"/>
    </xf>
    <xf numFmtId="0" fontId="22" fillId="16" borderId="37" xfId="0" applyFont="1" applyFill="1" applyBorder="1" applyAlignment="1">
      <alignment horizontal="center" vertical="center" wrapText="1"/>
    </xf>
    <xf numFmtId="0" fontId="22" fillId="16" borderId="37" xfId="0" applyFont="1" applyFill="1" applyBorder="1" applyAlignment="1">
      <alignment horizontal="left" vertical="center" wrapText="1"/>
    </xf>
    <xf numFmtId="0" fontId="22" fillId="16" borderId="146" xfId="0" applyFont="1" applyFill="1" applyBorder="1" applyAlignment="1">
      <alignment horizontal="left" vertical="center" wrapText="1"/>
    </xf>
    <xf numFmtId="0" fontId="22" fillId="16" borderId="142" xfId="0" applyFont="1" applyFill="1" applyBorder="1" applyAlignment="1">
      <alignment horizontal="left" vertical="center" wrapText="1"/>
    </xf>
    <xf numFmtId="0" fontId="22" fillId="16" borderId="10" xfId="0" applyFont="1" applyFill="1" applyBorder="1" applyAlignment="1">
      <alignment horizontal="left" vertical="center" wrapText="1"/>
    </xf>
    <xf numFmtId="0" fontId="6" fillId="16" borderId="146" xfId="0" applyFont="1" applyFill="1" applyBorder="1" applyAlignment="1">
      <alignment horizontal="center" vertical="top"/>
    </xf>
    <xf numFmtId="0" fontId="6" fillId="16" borderId="144" xfId="0" applyFont="1" applyFill="1" applyBorder="1" applyAlignment="1">
      <alignment horizontal="center" vertical="top"/>
    </xf>
    <xf numFmtId="0" fontId="6" fillId="16" borderId="142" xfId="0" applyFont="1" applyFill="1" applyBorder="1" applyAlignment="1">
      <alignment horizontal="center" vertical="top"/>
    </xf>
    <xf numFmtId="0" fontId="6" fillId="16" borderId="57" xfId="0" applyFont="1" applyFill="1" applyBorder="1" applyAlignment="1">
      <alignment horizontal="center" vertical="top"/>
    </xf>
    <xf numFmtId="0" fontId="6" fillId="16" borderId="37" xfId="0" applyFont="1" applyFill="1" applyBorder="1" applyAlignment="1">
      <alignment horizontal="center" vertical="top"/>
    </xf>
    <xf numFmtId="0" fontId="6" fillId="10" borderId="0" xfId="0" applyFont="1" applyFill="1" applyBorder="1" applyAlignment="1">
      <alignment horizontal="center" vertical="center"/>
    </xf>
    <xf numFmtId="0" fontId="0" fillId="0" borderId="209" xfId="0" applyBorder="1"/>
    <xf numFmtId="0" fontId="0" fillId="0" borderId="209" xfId="0" applyBorder="1"/>
    <xf numFmtId="0" fontId="0" fillId="0" borderId="210" xfId="0" applyBorder="1"/>
    <xf numFmtId="0" fontId="0" fillId="0" borderId="211" xfId="0" applyBorder="1"/>
    <xf numFmtId="0" fontId="0" fillId="0" borderId="212" xfId="0" applyBorder="1"/>
    <xf numFmtId="0" fontId="0" fillId="0" borderId="212" xfId="0" applyBorder="1"/>
    <xf numFmtId="0" fontId="0" fillId="0" borderId="213" xfId="0" applyBorder="1"/>
    <xf numFmtId="0" fontId="0" fillId="0" borderId="214" xfId="0" applyBorder="1"/>
    <xf numFmtId="0" fontId="0" fillId="0" borderId="215" xfId="0" applyBorder="1"/>
    <xf numFmtId="0" fontId="0" fillId="0" borderId="215" xfId="0" applyBorder="1"/>
    <xf numFmtId="0" fontId="0" fillId="0" borderId="216" xfId="0" applyBorder="1"/>
    <xf numFmtId="0" fontId="7" fillId="0" borderId="173" xfId="0" applyFont="1" applyBorder="1"/>
    <xf numFmtId="0" fontId="0" fillId="0" borderId="208" xfId="0" applyBorder="1" applyAlignment="1">
      <alignment wrapText="1"/>
    </xf>
    <xf numFmtId="0" fontId="6" fillId="16" borderId="217" xfId="0" applyNumberFormat="1" applyFont="1" applyFill="1" applyBorder="1" applyAlignment="1">
      <alignment vertical="top"/>
    </xf>
  </cellXfs>
  <cellStyles count="157">
    <cellStyle name="Date" xfId="150"/>
    <cellStyle name="Euro" xfId="15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Item" xfId="152"/>
    <cellStyle name="Normal" xfId="0" builtinId="0"/>
    <cellStyle name="Normal 2" xfId="149"/>
    <cellStyle name="Percent" xfId="156" builtinId="5"/>
    <cellStyle name="Table Cell" xfId="153"/>
    <cellStyle name="Table Cell Date" xfId="154"/>
    <cellStyle name="Table Heading" xfId="155"/>
  </cellStyles>
  <dxfs count="124">
    <dxf>
      <font>
        <color theme="0"/>
      </font>
      <fill>
        <patternFill>
          <bgColor rgb="FF333333"/>
        </patternFill>
      </fill>
    </dxf>
    <dxf>
      <font>
        <color theme="0"/>
      </font>
      <fill>
        <patternFill>
          <bgColor theme="0"/>
        </patternFill>
      </fill>
    </dxf>
    <dxf>
      <font>
        <condense val="0"/>
        <extend val="0"/>
        <color indexed="10"/>
      </font>
    </dxf>
    <dxf>
      <font>
        <condense val="0"/>
        <extend val="0"/>
        <color indexed="10"/>
      </font>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ill>
        <patternFill>
          <bgColor rgb="FFFF0000"/>
        </patternFill>
      </fill>
    </dxf>
    <dxf>
      <font>
        <color theme="0"/>
      </font>
      <fill>
        <patternFill>
          <bgColor rgb="FFFF0000"/>
        </patternFill>
      </fill>
    </dxf>
    <dxf>
      <font>
        <b/>
        <i val="0"/>
        <color rgb="FFFF0000"/>
      </font>
    </dxf>
    <dxf>
      <font>
        <b/>
        <i val="0"/>
        <color rgb="FFFF0000"/>
      </font>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border>
        <bottom style="thin">
          <color indexed="64"/>
        </bottom>
        <horizontal style="thin">
          <color indexed="64"/>
        </horizontal>
      </border>
    </dxf>
    <dxf>
      <border>
        <bottom style="thin">
          <color indexed="64"/>
        </bottom>
        <horizontal style="thin">
          <color indexed="64"/>
        </horizontal>
      </border>
    </dxf>
    <dxf>
      <border>
        <horizontal style="thin">
          <color auto="1"/>
        </horizontal>
      </border>
    </dxf>
    <dxf>
      <border>
        <horizontal style="thin">
          <color auto="1"/>
        </horizontal>
      </border>
    </dxf>
    <dxf>
      <border>
        <horizontal style="thin">
          <color auto="1"/>
        </horizontal>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left style="thin">
          <color indexed="64"/>
        </left>
        <right style="thin">
          <color indexed="64"/>
        </right>
        <vertical style="thin">
          <color indexed="64"/>
        </vertical>
      </border>
    </dxf>
    <dxf>
      <border>
        <left style="thin">
          <color indexed="64"/>
        </left>
        <right style="thin">
          <color indexed="64"/>
        </right>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right style="thin">
          <color indexed="64"/>
        </right>
        <horizontal style="thin">
          <color indexed="64"/>
        </horizontal>
      </border>
    </dxf>
    <dxf>
      <border>
        <bottom style="thin">
          <color indexed="64"/>
        </bottom>
      </border>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border>
    </dxf>
    <dxf>
      <border>
        <right style="thin">
          <color auto="1"/>
        </right>
      </border>
    </dxf>
    <dxf>
      <border>
        <top style="thin">
          <color auto="1"/>
        </top>
      </border>
    </dxf>
    <dxf>
      <border>
        <top style="thin">
          <color auto="1"/>
        </top>
      </border>
    </dxf>
    <dxf>
      <border>
        <bottom style="thin">
          <color auto="1"/>
        </bottom>
      </border>
    </dxf>
    <dxf>
      <border>
        <bottom style="thin">
          <color auto="1"/>
        </bottom>
      </border>
    </dxf>
    <dxf>
      <numFmt numFmtId="2" formatCode="0.00"/>
      <alignment horizontal="right" readingOrder="0"/>
    </dxf>
    <dxf>
      <numFmt numFmtId="2" formatCode="0.00"/>
    </dxf>
    <dxf>
      <numFmt numFmtId="166" formatCode="[$-809]dd\-mmm\-yy;@"/>
      <alignment vertical="top" readingOrder="0"/>
    </dxf>
    <dxf>
      <font>
        <sz val="10"/>
      </font>
    </dxf>
    <dxf>
      <border>
        <right style="thin">
          <color indexed="64"/>
        </right>
        <vertical style="thin">
          <color indexed="64"/>
        </vertical>
      </border>
    </dxf>
    <dxf>
      <border>
        <bottom style="thin">
          <color indexed="64"/>
        </bottom>
        <horizontal style="thin">
          <color indexed="64"/>
        </horizontal>
      </border>
    </dxf>
    <dxf>
      <border>
        <bottom style="thin">
          <color indexed="64"/>
        </bottom>
        <horizontal style="thin">
          <color indexed="64"/>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border>
    </dxf>
    <dxf>
      <border>
        <left style="thin">
          <color indexed="64"/>
        </left>
      </border>
    </dxf>
    <dxf>
      <border>
        <left style="thin">
          <color indexed="64"/>
        </left>
      </border>
    </dxf>
    <dxf>
      <border>
        <bottom style="thin">
          <color indexed="64"/>
        </bottom>
      </border>
    </dxf>
    <dxf>
      <border>
        <bottom style="thin">
          <color theme="0" tint="-0.14996795556505021"/>
        </bottom>
      </border>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border>
    </dxf>
    <dxf>
      <border>
        <top style="thin">
          <color auto="1"/>
        </top>
      </border>
    </dxf>
    <dxf>
      <border>
        <top style="thin">
          <color auto="1"/>
        </top>
      </border>
    </dxf>
    <dxf>
      <border>
        <bottom style="thin">
          <color auto="1"/>
        </bottom>
      </border>
    </dxf>
    <dxf>
      <border>
        <bottom style="thin">
          <color auto="1"/>
        </bottom>
      </border>
    </dxf>
    <dxf>
      <numFmt numFmtId="2" formatCode="0.00"/>
      <alignment horizontal="right" readingOrder="0"/>
    </dxf>
    <dxf>
      <numFmt numFmtId="2" formatCode="0.00"/>
    </dxf>
    <dxf>
      <numFmt numFmtId="166" formatCode="[$-809]dd\-mmm\-yy;@"/>
      <alignment vertical="top" readingOrder="0"/>
    </dxf>
    <dxf>
      <font>
        <sz val="10"/>
      </font>
    </dxf>
    <dxf>
      <border>
        <left style="thin">
          <color auto="1"/>
        </left>
        <right style="thin">
          <color auto="1"/>
        </right>
        <vertical style="thin">
          <color auto="1"/>
        </vertical>
      </border>
    </dxf>
    <dxf>
      <font>
        <b/>
        <i val="0"/>
      </font>
      <fill>
        <patternFill>
          <bgColor rgb="FFDFE5E6"/>
        </patternFill>
      </fill>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rgb="FFDAEEF3"/>
        </patternFill>
      </fill>
    </dxf>
    <dxf>
      <border>
        <left style="thin">
          <color auto="1"/>
        </left>
        <right style="thin">
          <color auto="1"/>
        </right>
        <top style="thin">
          <color auto="1"/>
        </top>
        <bottom style="thin">
          <color auto="1"/>
        </bottom>
        <vertical style="thin">
          <color auto="1"/>
        </vertical>
      </border>
    </dxf>
    <dxf>
      <border>
        <left style="thin">
          <color auto="1"/>
        </left>
        <right style="thin">
          <color auto="1"/>
        </right>
        <vertical style="thin">
          <color auto="1"/>
        </vertical>
      </border>
    </dxf>
    <dxf>
      <border diagonalUp="1">
        <left style="thin">
          <color auto="1"/>
        </left>
        <right style="thin">
          <color auto="1"/>
        </right>
        <top style="thin">
          <color auto="1"/>
        </top>
        <bottom style="thin">
          <color auto="1"/>
        </bottom>
        <diagonal style="thin">
          <color auto="1"/>
        </diagonal>
        <vertical style="thin">
          <color auto="1"/>
        </vertical>
      </border>
    </dxf>
    <dxf>
      <font>
        <b/>
        <i val="0"/>
      </font>
      <fill>
        <patternFill>
          <fgColor rgb="FFDAEEF3"/>
          <bgColor rgb="FFDAEEF3"/>
        </patternFill>
      </fill>
    </dxf>
    <dxf>
      <font>
        <b/>
        <i val="0"/>
      </font>
      <fill>
        <patternFill>
          <bgColor rgb="FFDAEEF3"/>
        </patternFill>
      </fill>
    </dxf>
    <dxf>
      <border>
        <left style="thin">
          <color auto="1"/>
        </left>
        <right style="thin">
          <color auto="1"/>
        </right>
        <top style="thin">
          <color auto="1"/>
        </top>
        <bottom style="thin">
          <color auto="1"/>
        </bottom>
      </border>
    </dxf>
  </dxfs>
  <tableStyles count="1" defaultTableStyle="TableStyleMedium9" defaultPivotStyle="PivotStyleMedium4">
    <tableStyle name="PivotTable Style 1" table="0" count="15">
      <tableStyleElement type="wholeTable" dxfId="123"/>
      <tableStyleElement type="headerRow" dxfId="122"/>
      <tableStyleElement type="totalRow" dxfId="121"/>
      <tableStyleElement type="firstColumn" dxfId="120"/>
      <tableStyleElement type="firstColumnStripe" dxfId="119"/>
      <tableStyleElement type="secondColumnStripe" dxfId="118"/>
      <tableStyleElement type="firstHeaderCell" dxfId="117"/>
      <tableStyleElement type="firstSubtotalColumn" dxfId="116"/>
      <tableStyleElement type="secondSubtotalColumn" dxfId="115"/>
      <tableStyleElement type="thirdSubtotalColumn" dxfId="114"/>
      <tableStyleElement type="firstColumnSubheading" dxfId="113"/>
      <tableStyleElement type="secondColumnSubheading" dxfId="112"/>
      <tableStyleElement type="thirdColumnSubheading" dxfId="111"/>
      <tableStyleElement type="pageFieldLabels" dxfId="110"/>
      <tableStyleElement type="pageFieldValues" dxfId="109"/>
    </tableStyle>
  </tableStyles>
  <colors>
    <mruColors>
      <color rgb="FFDFE5E6"/>
      <color rgb="FFDAEEF3"/>
      <color rgb="FFFF6600"/>
      <color rgb="FFFFCC00"/>
      <color rgb="FFFFFF99"/>
      <color rgb="FFCCFFFF"/>
      <color rgb="FF9EB49E"/>
      <color rgb="FFC0C0C0"/>
      <color rgb="FFCFE2CE"/>
      <color rgb="FF3333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1216152</xdr:colOff>
      <xdr:row>2</xdr:row>
      <xdr:rowOff>76199</xdr:rowOff>
    </xdr:to>
    <xdr:pic>
      <xdr:nvPicPr>
        <xdr:cNvPr id="4" name="Picture 3"/>
        <xdr:cNvPicPr>
          <a:picLocks noChangeAspect="1"/>
        </xdr:cNvPicPr>
      </xdr:nvPicPr>
      <xdr:blipFill>
        <a:blip xmlns:r="http://schemas.openxmlformats.org/officeDocument/2006/relationships" r:embed="rId1"/>
        <a:stretch>
          <a:fillRect/>
        </a:stretch>
      </xdr:blipFill>
      <xdr:spPr>
        <a:xfrm>
          <a:off x="142875" y="142875"/>
          <a:ext cx="1216152" cy="361949"/>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2819400</xdr:colOff>
          <xdr:row>1</xdr:row>
          <xdr:rowOff>66675</xdr:rowOff>
        </xdr:from>
        <xdr:to>
          <xdr:col>2</xdr:col>
          <xdr:colOff>4038600</xdr:colOff>
          <xdr:row>2</xdr:row>
          <xdr:rowOff>28575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Migrate Content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1216152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19050</xdr:colOff>
      <xdr:row>2</xdr:row>
      <xdr:rowOff>0</xdr:rowOff>
    </xdr:from>
    <xdr:to>
      <xdr:col>17</xdr:col>
      <xdr:colOff>419100</xdr:colOff>
      <xdr:row>5</xdr:row>
      <xdr:rowOff>0</xdr:rowOff>
    </xdr:to>
    <xdr:grpSp>
      <xdr:nvGrpSpPr>
        <xdr:cNvPr id="6" name="Group 5"/>
        <xdr:cNvGrpSpPr/>
      </xdr:nvGrpSpPr>
      <xdr:grpSpPr>
        <a:xfrm>
          <a:off x="11258550" y="733425"/>
          <a:ext cx="2428875" cy="723900"/>
          <a:chOff x="6096000" y="2466975"/>
          <a:chExt cx="2546401" cy="942975"/>
        </a:xfrm>
      </xdr:grpSpPr>
      <xdr:sp macro="" textlink="">
        <xdr:nvSpPr>
          <xdr:cNvPr id="3" name="TextBox 2"/>
          <xdr:cNvSpPr txBox="1"/>
        </xdr:nvSpPr>
        <xdr:spPr>
          <a:xfrm>
            <a:off x="6096000" y="2466975"/>
            <a:ext cx="2476500" cy="94297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4" name="Rectangle 3"/>
          <xdr:cNvSpPr/>
        </xdr:nvSpPr>
        <xdr:spPr>
          <a:xfrm>
            <a:off x="6200775" y="2809875"/>
            <a:ext cx="514350" cy="200025"/>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5" name="TextBox 4"/>
          <xdr:cNvSpPr txBox="1"/>
        </xdr:nvSpPr>
        <xdr:spPr>
          <a:xfrm>
            <a:off x="6785026" y="2598946"/>
            <a:ext cx="1857375" cy="600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r>
              <a:rPr lang="en-US" sz="900"/>
              <a:t>These are derived cells and should not be edited.  To add rows, copy from existing rows to preserve the formulas.</a:t>
            </a:r>
          </a:p>
        </xdr:txBody>
      </xdr:sp>
    </xdr:grpSp>
    <xdr:clientData/>
  </xdr:twoCellAnchor>
  <mc:AlternateContent xmlns:mc="http://schemas.openxmlformats.org/markup-compatibility/2006">
    <mc:Choice xmlns:a14="http://schemas.microsoft.com/office/drawing/2010/main" Requires="a14">
      <xdr:twoCellAnchor>
        <xdr:from>
          <xdr:col>6</xdr:col>
          <xdr:colOff>38100</xdr:colOff>
          <xdr:row>0</xdr:row>
          <xdr:rowOff>142875</xdr:rowOff>
        </xdr:from>
        <xdr:to>
          <xdr:col>7</xdr:col>
          <xdr:colOff>0</xdr:colOff>
          <xdr:row>0</xdr:row>
          <xdr:rowOff>381000</xdr:rowOff>
        </xdr:to>
        <xdr:sp macro="" textlink="">
          <xdr:nvSpPr>
            <xdr:cNvPr id="5125" name="Button 5" hidden="1">
              <a:extLst>
                <a:ext uri="{63B3BB69-23CF-44E3-9099-C40C66FF867C}">
                  <a14:compatExt spid="_x0000_s51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Add New Story Type</a:t>
              </a:r>
            </a:p>
          </xdr:txBody>
        </xdr:sp>
        <xdr:clientData fPrintsWithSheet="0"/>
      </xdr:twoCellAnchor>
    </mc:Choice>
    <mc:Fallback/>
  </mc:AlternateContent>
  <xdr:twoCellAnchor editAs="oneCell">
    <xdr:from>
      <xdr:col>1</xdr:col>
      <xdr:colOff>0</xdr:colOff>
      <xdr:row>0</xdr:row>
      <xdr:rowOff>38100</xdr:rowOff>
    </xdr:from>
    <xdr:to>
      <xdr:col>2</xdr:col>
      <xdr:colOff>644652</xdr:colOff>
      <xdr:row>0</xdr:row>
      <xdr:rowOff>400049</xdr:rowOff>
    </xdr:to>
    <xdr:pic>
      <xdr:nvPicPr>
        <xdr:cNvPr id="7" name="Picture 6"/>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23</xdr:col>
      <xdr:colOff>190500</xdr:colOff>
      <xdr:row>5</xdr:row>
      <xdr:rowOff>0</xdr:rowOff>
    </xdr:from>
    <xdr:to>
      <xdr:col>27</xdr:col>
      <xdr:colOff>247651</xdr:colOff>
      <xdr:row>10</xdr:row>
      <xdr:rowOff>10582</xdr:rowOff>
    </xdr:to>
    <xdr:grpSp>
      <xdr:nvGrpSpPr>
        <xdr:cNvPr id="2" name="Group 1"/>
        <xdr:cNvGrpSpPr/>
      </xdr:nvGrpSpPr>
      <xdr:grpSpPr>
        <a:xfrm>
          <a:off x="22542500" y="1153583"/>
          <a:ext cx="2787651" cy="1502832"/>
          <a:chOff x="12439650" y="2705100"/>
          <a:chExt cx="2800351" cy="1152525"/>
        </a:xfrm>
      </xdr:grpSpPr>
      <xdr:sp macro="" textlink="">
        <xdr:nvSpPr>
          <xdr:cNvPr id="3" name="TextBox 2"/>
          <xdr:cNvSpPr txBox="1"/>
        </xdr:nvSpPr>
        <xdr:spPr>
          <a:xfrm>
            <a:off x="12439650" y="2705100"/>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4" name="Rectangle 3"/>
          <xdr:cNvSpPr/>
        </xdr:nvSpPr>
        <xdr:spPr>
          <a:xfrm>
            <a:off x="12559256" y="308115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5" name="TextBox 4"/>
          <xdr:cNvSpPr txBox="1"/>
        </xdr:nvSpPr>
        <xdr:spPr>
          <a:xfrm>
            <a:off x="13154025" y="3076575"/>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6" name="Rectangle 5"/>
          <xdr:cNvSpPr/>
        </xdr:nvSpPr>
        <xdr:spPr>
          <a:xfrm>
            <a:off x="12559256" y="3305175"/>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0</xdr:colOff>
      <xdr:row>1</xdr:row>
      <xdr:rowOff>9525</xdr:rowOff>
    </xdr:from>
    <xdr:to>
      <xdr:col>2</xdr:col>
      <xdr:colOff>1073277</xdr:colOff>
      <xdr:row>1</xdr:row>
      <xdr:rowOff>371474</xdr:rowOff>
    </xdr:to>
    <xdr:pic>
      <xdr:nvPicPr>
        <xdr:cNvPr id="7" name="Picture 6"/>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390525</xdr:colOff>
      <xdr:row>3</xdr:row>
      <xdr:rowOff>38100</xdr:rowOff>
    </xdr:from>
    <xdr:to>
      <xdr:col>14</xdr:col>
      <xdr:colOff>523876</xdr:colOff>
      <xdr:row>4</xdr:row>
      <xdr:rowOff>790575</xdr:rowOff>
    </xdr:to>
    <xdr:grpSp>
      <xdr:nvGrpSpPr>
        <xdr:cNvPr id="8" name="Group 7"/>
        <xdr:cNvGrpSpPr/>
      </xdr:nvGrpSpPr>
      <xdr:grpSpPr>
        <a:xfrm>
          <a:off x="13735050" y="809625"/>
          <a:ext cx="2800351" cy="1152525"/>
          <a:chOff x="12439650" y="2705100"/>
          <a:chExt cx="2800351" cy="1152525"/>
        </a:xfrm>
      </xdr:grpSpPr>
      <xdr:sp macro="" textlink="">
        <xdr:nvSpPr>
          <xdr:cNvPr id="4" name="TextBox 3"/>
          <xdr:cNvSpPr txBox="1"/>
        </xdr:nvSpPr>
        <xdr:spPr>
          <a:xfrm>
            <a:off x="12439650" y="2705100"/>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xdr:cNvSpPr/>
        </xdr:nvSpPr>
        <xdr:spPr>
          <a:xfrm>
            <a:off x="12559256" y="308115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xdr:cNvSpPr txBox="1"/>
        </xdr:nvSpPr>
        <xdr:spPr>
          <a:xfrm>
            <a:off x="13154025" y="3076575"/>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xdr:cNvSpPr/>
        </xdr:nvSpPr>
        <xdr:spPr>
          <a:xfrm>
            <a:off x="12559256" y="3305175"/>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0</xdr:colOff>
      <xdr:row>1</xdr:row>
      <xdr:rowOff>9525</xdr:rowOff>
    </xdr:from>
    <xdr:to>
      <xdr:col>2</xdr:col>
      <xdr:colOff>349377</xdr:colOff>
      <xdr:row>1</xdr:row>
      <xdr:rowOff>371474</xdr:rowOff>
    </xdr:to>
    <xdr:pic>
      <xdr:nvPicPr>
        <xdr:cNvPr id="9" name="Picture 8"/>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11</xdr:col>
      <xdr:colOff>238124</xdr:colOff>
      <xdr:row>4</xdr:row>
      <xdr:rowOff>133350</xdr:rowOff>
    </xdr:from>
    <xdr:to>
      <xdr:col>14</xdr:col>
      <xdr:colOff>609600</xdr:colOff>
      <xdr:row>9</xdr:row>
      <xdr:rowOff>142875</xdr:rowOff>
    </xdr:to>
    <xdr:grpSp>
      <xdr:nvGrpSpPr>
        <xdr:cNvPr id="3" name="Group 2"/>
        <xdr:cNvGrpSpPr/>
      </xdr:nvGrpSpPr>
      <xdr:grpSpPr>
        <a:xfrm>
          <a:off x="10915649" y="1133475"/>
          <a:ext cx="3038476" cy="1266825"/>
          <a:chOff x="12081970" y="2943225"/>
          <a:chExt cx="2800351" cy="1152525"/>
        </a:xfrm>
      </xdr:grpSpPr>
      <xdr:sp macro="" textlink="">
        <xdr:nvSpPr>
          <xdr:cNvPr id="4" name="TextBox 3"/>
          <xdr:cNvSpPr txBox="1"/>
        </xdr:nvSpPr>
        <xdr:spPr>
          <a:xfrm>
            <a:off x="12081970" y="2943225"/>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xdr:cNvSpPr/>
        </xdr:nvSpPr>
        <xdr:spPr>
          <a:xfrm>
            <a:off x="12201576" y="3319277"/>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xdr:cNvSpPr txBox="1"/>
        </xdr:nvSpPr>
        <xdr:spPr>
          <a:xfrm>
            <a:off x="12796345" y="3314700"/>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xdr:cNvSpPr/>
        </xdr:nvSpPr>
        <xdr:spPr>
          <a:xfrm>
            <a:off x="12201576" y="3543300"/>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228600</xdr:colOff>
      <xdr:row>1</xdr:row>
      <xdr:rowOff>28575</xdr:rowOff>
    </xdr:from>
    <xdr:to>
      <xdr:col>2</xdr:col>
      <xdr:colOff>492252</xdr:colOff>
      <xdr:row>1</xdr:row>
      <xdr:rowOff>390524</xdr:rowOff>
    </xdr:to>
    <xdr:pic>
      <xdr:nvPicPr>
        <xdr:cNvPr id="8" name="Picture 7"/>
        <xdr:cNvPicPr>
          <a:picLocks noChangeAspect="1"/>
        </xdr:cNvPicPr>
      </xdr:nvPicPr>
      <xdr:blipFill>
        <a:blip xmlns:r="http://schemas.openxmlformats.org/officeDocument/2006/relationships" r:embed="rId1"/>
        <a:stretch>
          <a:fillRect/>
        </a:stretch>
      </xdr:blipFill>
      <xdr:spPr>
        <a:xfrm>
          <a:off x="371475" y="57150"/>
          <a:ext cx="1216152" cy="3619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238125</xdr:colOff>
          <xdr:row>3</xdr:row>
          <xdr:rowOff>28575</xdr:rowOff>
        </xdr:from>
        <xdr:to>
          <xdr:col>7</xdr:col>
          <xdr:colOff>28575</xdr:colOff>
          <xdr:row>4</xdr:row>
          <xdr:rowOff>152400</xdr:rowOff>
        </xdr:to>
        <xdr:sp macro="" textlink="">
          <xdr:nvSpPr>
            <xdr:cNvPr id="11275" name="Button 11" hidden="1">
              <a:extLst>
                <a:ext uri="{63B3BB69-23CF-44E3-9099-C40C66FF867C}">
                  <a14:compatExt spid="_x0000_s112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Add New Week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0</xdr:rowOff>
        </xdr:from>
        <xdr:to>
          <xdr:col>7</xdr:col>
          <xdr:colOff>9525</xdr:colOff>
          <xdr:row>2</xdr:row>
          <xdr:rowOff>66675</xdr:rowOff>
        </xdr:to>
        <xdr:sp macro="" textlink="">
          <xdr:nvSpPr>
            <xdr:cNvPr id="11276" name="Button 12" hidden="1">
              <a:extLst>
                <a:ext uri="{63B3BB69-23CF-44E3-9099-C40C66FF867C}">
                  <a14:compatExt spid="_x0000_s112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Export Data</a:t>
              </a:r>
            </a:p>
          </xdr:txBody>
        </xdr:sp>
        <xdr:clientData fPrintsWithSheet="0"/>
      </xdr:twoCellAnchor>
    </mc:Choice>
    <mc:Fallback/>
  </mc:AlternateContent>
  <xdr:twoCellAnchor editAs="oneCell">
    <xdr:from>
      <xdr:col>1</xdr:col>
      <xdr:colOff>0</xdr:colOff>
      <xdr:row>0</xdr:row>
      <xdr:rowOff>38100</xdr:rowOff>
    </xdr:from>
    <xdr:to>
      <xdr:col>2</xdr:col>
      <xdr:colOff>1073277</xdr:colOff>
      <xdr:row>0</xdr:row>
      <xdr:rowOff>400049</xdr:rowOff>
    </xdr:to>
    <xdr:pic>
      <xdr:nvPicPr>
        <xdr:cNvPr id="4" name="Picture 3"/>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885825</xdr:colOff>
          <xdr:row>1</xdr:row>
          <xdr:rowOff>9525</xdr:rowOff>
        </xdr:from>
        <xdr:to>
          <xdr:col>3</xdr:col>
          <xdr:colOff>1057275</xdr:colOff>
          <xdr:row>1</xdr:row>
          <xdr:rowOff>304800</xdr:rowOff>
        </xdr:to>
        <xdr:sp macro="" textlink="">
          <xdr:nvSpPr>
            <xdr:cNvPr id="11278" name="Button 14" hidden="1">
              <a:extLst>
                <a:ext uri="{63B3BB69-23CF-44E3-9099-C40C66FF867C}">
                  <a14:compatExt spid="_x0000_s11278"/>
                </a:ext>
              </a:extLst>
            </xdr:cNvPr>
            <xdr:cNvSpPr/>
          </xdr:nvSpPr>
          <xdr:spPr>
            <a:xfrm>
              <a:off x="0" y="0"/>
              <a:ext cx="0" cy="0"/>
            </a:xfrm>
            <a:prstGeom prst="rect">
              <a:avLst/>
            </a:prstGeom>
          </xdr:spPr>
          <xdr:txBody>
            <a:bodyPr vertOverflow="clip" wrap="square" lIns="54864" tIns="27432" rIns="54864" bIns="27432" anchor="ctr" upright="1"/>
            <a:lstStyle/>
            <a:p>
              <a:pPr algn="ctr" rtl="0">
                <a:defRPr sz="1000"/>
              </a:pPr>
              <a:r>
                <a:rPr lang="en-US" sz="1200" b="1" i="0" u="none" strike="noStrike" baseline="0">
                  <a:solidFill>
                    <a:srgbClr val="000000"/>
                  </a:solidFill>
                  <a:latin typeface="Webdings"/>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2</xdr:row>
          <xdr:rowOff>0</xdr:rowOff>
        </xdr:from>
        <xdr:to>
          <xdr:col>3</xdr:col>
          <xdr:colOff>1057275</xdr:colOff>
          <xdr:row>2</xdr:row>
          <xdr:rowOff>295275</xdr:rowOff>
        </xdr:to>
        <xdr:sp macro="" textlink="">
          <xdr:nvSpPr>
            <xdr:cNvPr id="11279" name="Button 15" hidden="1">
              <a:extLst>
                <a:ext uri="{63B3BB69-23CF-44E3-9099-C40C66FF867C}">
                  <a14:compatExt spid="_x0000_s11279"/>
                </a:ext>
              </a:extLst>
            </xdr:cNvPr>
            <xdr:cNvSpPr/>
          </xdr:nvSpPr>
          <xdr:spPr>
            <a:xfrm>
              <a:off x="0" y="0"/>
              <a:ext cx="0" cy="0"/>
            </a:xfrm>
            <a:prstGeom prst="rect">
              <a:avLst/>
            </a:prstGeom>
          </xdr:spPr>
          <xdr:txBody>
            <a:bodyPr vertOverflow="clip" wrap="square" lIns="54864" tIns="27432" rIns="54864" bIns="27432" anchor="ctr" upright="1"/>
            <a:lstStyle/>
            <a:p>
              <a:pPr algn="ctr" rtl="0">
                <a:defRPr sz="1000"/>
              </a:pPr>
              <a:r>
                <a:rPr lang="en-US" sz="1200" b="1" i="0" u="none" strike="noStrike" baseline="0">
                  <a:solidFill>
                    <a:srgbClr val="000000"/>
                  </a:solidFill>
                  <a:latin typeface="Webdings"/>
                </a:rPr>
                <a:t>6</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2</xdr:col>
      <xdr:colOff>263652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1216152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764BIT" refreshedDate="41684.971784606481" createdVersion="4" refreshedVersion="4" minRefreshableVersion="3" recordCount="33">
  <cacheSource type="worksheet">
    <worksheetSource name="stories_pivot_range"/>
  </cacheSource>
  <cacheFields count="20">
    <cacheField name="Category" numFmtId="0">
      <sharedItems containsNonDate="0" containsString="0" containsBlank="1" count="1">
        <m/>
      </sharedItems>
    </cacheField>
    <cacheField name="Sub Category" numFmtId="0">
      <sharedItems containsNonDate="0" containsString="0" containsBlank="1" count="1">
        <m/>
      </sharedItems>
    </cacheField>
    <cacheField name="Phase" numFmtId="0">
      <sharedItems containsNonDate="0" containsString="0" containsBlank="1" count="1">
        <m/>
      </sharedItems>
    </cacheField>
    <cacheField name="Track" numFmtId="0">
      <sharedItems containsBlank="1" count="2">
        <s v="Tech"/>
        <m/>
      </sharedItems>
    </cacheField>
    <cacheField name="Story Name" numFmtId="0">
      <sharedItems containsBlank="1"/>
    </cacheField>
    <cacheField name="Description" numFmtId="0">
      <sharedItems containsNonDate="0" containsString="0" containsBlank="1"/>
    </cacheField>
    <cacheField name="Scope Reference" numFmtId="0">
      <sharedItems containsNonDate="0" containsString="0" containsBlank="1"/>
    </cacheField>
    <cacheField name="In/Out" numFmtId="0">
      <sharedItems/>
    </cacheField>
    <cacheField name="Release" numFmtId="0">
      <sharedItems containsNonDate="0" containsString="0" containsBlank="1" count="1">
        <m/>
      </sharedItems>
    </cacheField>
    <cacheField name="Story Type" numFmtId="0">
      <sharedItems containsBlank="1"/>
    </cacheField>
    <cacheField name="ABP" numFmtId="2">
      <sharedItems containsString="0" containsBlank="1" containsNumber="1" minValue="0.5" maxValue="10.62"/>
    </cacheField>
    <cacheField name="HP" numFmtId="2">
      <sharedItems containsString="0" containsBlank="1" containsNumber="1" minValue="1" maxValue="12.75"/>
    </cacheField>
    <cacheField name="Multiplier" numFmtId="1">
      <sharedItems containsSemiMixedTypes="0" containsString="0" containsNumber="1" containsInteger="1" minValue="1" maxValue="1"/>
    </cacheField>
    <cacheField name="ABP Calc" numFmtId="2">
      <sharedItems containsNonDate="0" containsString="0" containsBlank="1"/>
    </cacheField>
    <cacheField name="ABP2" numFmtId="2">
      <sharedItems containsMixedTypes="1" containsNumber="1" minValue="0.5" maxValue="10.62"/>
    </cacheField>
    <cacheField name="HP Calc" numFmtId="2">
      <sharedItems containsNonDate="0" containsString="0" containsBlank="1"/>
    </cacheField>
    <cacheField name="HP2" numFmtId="2">
      <sharedItems containsMixedTypes="1" containsNumber="1" minValue="1" maxValue="12.75"/>
    </cacheField>
    <cacheField name="Buffered Calc" numFmtId="2">
      <sharedItems containsNonDate="0" containsString="0" containsBlank="1"/>
    </cacheField>
    <cacheField name="Buffered" numFmtId="2">
      <sharedItems containsMixedTypes="1" containsNumber="1" minValue="0.8" maxValue="9.6"/>
    </cacheField>
    <cacheField name="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3">
  <r>
    <x v="0"/>
    <x v="0"/>
    <x v="0"/>
    <x v="0"/>
    <s v="Administrator - Report Management_x000a_ - Order List -UI Implementation"/>
    <m/>
    <m/>
    <s v="In"/>
    <x v="0"/>
    <s v="Administrator - Report Management_x000a_ - Order List -UI Implementation"/>
    <n v="1.25"/>
    <n v="2.5"/>
    <n v="1"/>
    <m/>
    <n v="1.25"/>
    <m/>
    <n v="2.5"/>
    <m/>
    <n v="1.9"/>
    <m/>
  </r>
  <r>
    <x v="0"/>
    <x v="0"/>
    <x v="0"/>
    <x v="1"/>
    <s v="Administrator - Report Management_x000a_ - Order List - Backend Implementation"/>
    <m/>
    <m/>
    <s v="In"/>
    <x v="0"/>
    <s v="Administrator - Report Management_x000a_ - Order List - Backend Implementation"/>
    <n v="2.25"/>
    <n v="4.5"/>
    <n v="1"/>
    <m/>
    <n v="2.25"/>
    <m/>
    <n v="4.5"/>
    <m/>
    <n v="3.4"/>
    <m/>
  </r>
  <r>
    <x v="0"/>
    <x v="0"/>
    <x v="0"/>
    <x v="1"/>
    <s v="Administrator - Report Management - Defaulters List- UI"/>
    <m/>
    <m/>
    <s v="In"/>
    <x v="0"/>
    <s v="Administrator - Report Management - Defaulters List- UI"/>
    <n v="1.6870000000000001"/>
    <n v="3.375"/>
    <n v="1"/>
    <m/>
    <n v="1.6870000000000001"/>
    <m/>
    <n v="3.375"/>
    <m/>
    <n v="2.5"/>
    <m/>
  </r>
  <r>
    <x v="0"/>
    <x v="0"/>
    <x v="0"/>
    <x v="1"/>
    <s v="Administrator - Report Management - Defaulters List-Backend Implementation"/>
    <m/>
    <m/>
    <s v="In"/>
    <x v="0"/>
    <s v="Administrator - Report Management - Defaulters List-Backend Implementation"/>
    <n v="1.69"/>
    <n v="3.38"/>
    <n v="1"/>
    <m/>
    <n v="1.69"/>
    <m/>
    <n v="3.38"/>
    <m/>
    <n v="2.5"/>
    <m/>
  </r>
  <r>
    <x v="0"/>
    <x v="0"/>
    <x v="0"/>
    <x v="1"/>
    <s v="Administrator - Miscellaneous Page Management - UI"/>
    <m/>
    <m/>
    <s v="In"/>
    <x v="0"/>
    <s v="Administrator - Miscellaneous Page Management - UI"/>
    <n v="1.5"/>
    <n v="3.25"/>
    <n v="1"/>
    <m/>
    <n v="1.5"/>
    <m/>
    <n v="3.25"/>
    <m/>
    <n v="2.4"/>
    <m/>
  </r>
  <r>
    <x v="0"/>
    <x v="0"/>
    <x v="0"/>
    <x v="1"/>
    <s v="Administrator - Miscellaneous Page Management -- Backend"/>
    <m/>
    <m/>
    <s v="In"/>
    <x v="0"/>
    <s v="Administrator - Miscellaneous Page Management -- Backend"/>
    <n v="1.05"/>
    <n v="2.5"/>
    <n v="1"/>
    <m/>
    <n v="1.05"/>
    <m/>
    <n v="2.5"/>
    <m/>
    <n v="1.8"/>
    <m/>
  </r>
  <r>
    <x v="0"/>
    <x v="0"/>
    <x v="0"/>
    <x v="1"/>
    <s v="Customer - Miscellaneous Page Management - UI"/>
    <m/>
    <m/>
    <s v="In"/>
    <x v="0"/>
    <s v="Customer - Miscellaneous Page Management - UI"/>
    <n v="1.5"/>
    <n v="3.15"/>
    <n v="1"/>
    <m/>
    <n v="1.5"/>
    <m/>
    <n v="3.15"/>
    <m/>
    <n v="2.2999999999999998"/>
    <m/>
  </r>
  <r>
    <x v="0"/>
    <x v="0"/>
    <x v="0"/>
    <x v="1"/>
    <s v="Customer - Miscellaneous Page Management - Backend"/>
    <m/>
    <m/>
    <s v="In"/>
    <x v="0"/>
    <s v="Customer - Miscellaneous Page Management - Backend"/>
    <n v="1.05"/>
    <n v="2.25"/>
    <n v="1"/>
    <m/>
    <n v="1.05"/>
    <m/>
    <n v="2.25"/>
    <m/>
    <n v="1.7"/>
    <m/>
  </r>
  <r>
    <x v="0"/>
    <x v="0"/>
    <x v="0"/>
    <x v="1"/>
    <s v="Administrator - Rented Order Management_x000a_ - Return Update for an Order-UI"/>
    <m/>
    <m/>
    <s v="In"/>
    <x v="0"/>
    <s v="Administrator - Rented Order Management_x000a_ - Return Update for an Order-UI"/>
    <n v="6.37"/>
    <n v="12.75"/>
    <n v="1"/>
    <m/>
    <n v="6.37"/>
    <m/>
    <n v="12.75"/>
    <m/>
    <n v="9.6"/>
    <m/>
  </r>
  <r>
    <x v="0"/>
    <x v="0"/>
    <x v="0"/>
    <x v="1"/>
    <s v="Administrator - Rented Order Management_x000a_ - Return Update for an Order-Backend"/>
    <m/>
    <m/>
    <s v="In"/>
    <x v="0"/>
    <s v="Administrator - Rented Order Management_x000a_ - Return Update for an Order-Backend"/>
    <n v="5.65"/>
    <n v="11.25"/>
    <n v="1"/>
    <m/>
    <n v="5.65"/>
    <m/>
    <n v="11.25"/>
    <m/>
    <n v="8.5"/>
    <m/>
  </r>
  <r>
    <x v="0"/>
    <x v="0"/>
    <x v="0"/>
    <x v="1"/>
    <s v="List of Rent Application to Store Manager (Option to Accept / Reject Application to Store Manager)- UI"/>
    <m/>
    <m/>
    <s v="In"/>
    <x v="0"/>
    <s v="List of Rent Application to Store Manager (Option to Accept / Reject Application to Store Manager)- UI"/>
    <n v="10.62"/>
    <n v="5.31"/>
    <n v="1"/>
    <m/>
    <n v="10.62"/>
    <m/>
    <n v="5.31"/>
    <m/>
    <n v="8"/>
    <m/>
  </r>
  <r>
    <x v="0"/>
    <x v="0"/>
    <x v="0"/>
    <x v="1"/>
    <s v="List of Rent Application to Store Manager (Option to Accept / Reject Application to Store Manager)- Backend Implementation"/>
    <m/>
    <m/>
    <s v="In"/>
    <x v="0"/>
    <s v="List of Rent Application to Store Manager (Option to Accept / Reject Application to Store Manager)- Backend Implementation"/>
    <n v="9.3699999999999992"/>
    <n v="4.68"/>
    <n v="1"/>
    <m/>
    <n v="9.3699999999999992"/>
    <m/>
    <n v="4.68"/>
    <m/>
    <n v="7"/>
    <m/>
  </r>
  <r>
    <x v="0"/>
    <x v="0"/>
    <x v="0"/>
    <x v="1"/>
    <s v="Administrator - Inventory Management_x000a_- Inventory Summary Page Customizations- UI"/>
    <m/>
    <m/>
    <s v="In"/>
    <x v="0"/>
    <s v="Administrator - Inventory Management_x000a_- Inventory Summary Page Customizations- UI"/>
    <n v="1.81"/>
    <n v="3.62"/>
    <n v="1"/>
    <m/>
    <n v="1.81"/>
    <m/>
    <n v="3.62"/>
    <m/>
    <n v="2.7"/>
    <m/>
  </r>
  <r>
    <x v="0"/>
    <x v="0"/>
    <x v="0"/>
    <x v="1"/>
    <s v="Administrator - Inventory Management_x000a_- Edit Book Details- UI"/>
    <m/>
    <m/>
    <s v="In"/>
    <x v="0"/>
    <s v="Administrator - Inventory Management_x000a_- Edit Book Details- UI"/>
    <n v="4.1500000000000004"/>
    <n v="2.0499999999999998"/>
    <n v="1"/>
    <m/>
    <n v="4.1500000000000004"/>
    <m/>
    <n v="2.0499999999999998"/>
    <m/>
    <n v="3.1"/>
    <m/>
  </r>
  <r>
    <x v="0"/>
    <x v="0"/>
    <x v="0"/>
    <x v="1"/>
    <s v="Administrator - Inventory Management_x000a_- Edit Book Details- Backend Implementation"/>
    <m/>
    <m/>
    <s v="In"/>
    <x v="0"/>
    <s v="Administrator - Inventory Management_x000a_- Edit Book Details- Backend Implementation"/>
    <n v="1.93"/>
    <n v="3.87"/>
    <n v="1"/>
    <m/>
    <n v="1.93"/>
    <m/>
    <n v="3.87"/>
    <m/>
    <n v="2.9"/>
    <m/>
  </r>
  <r>
    <x v="0"/>
    <x v="0"/>
    <x v="0"/>
    <x v="1"/>
    <s v="Administrator - Inventory Management_x000a_- Delete Book Details- UI"/>
    <m/>
    <m/>
    <s v="In"/>
    <x v="0"/>
    <s v="Administrator - Inventory Management_x000a_- Delete Book Details- UI"/>
    <n v="1.5"/>
    <n v="3"/>
    <n v="1"/>
    <m/>
    <n v="1.5"/>
    <m/>
    <n v="3"/>
    <m/>
    <n v="2.2999999999999998"/>
    <m/>
  </r>
  <r>
    <x v="0"/>
    <x v="0"/>
    <x v="0"/>
    <x v="1"/>
    <s v="Administrator - Inventory Management_x000a_- Delete Book Details- Backend Implementation"/>
    <m/>
    <m/>
    <s v="In"/>
    <x v="0"/>
    <s v="Administrator - Inventory Management_x000a_- Delete Book Details- Backend Implementation"/>
    <n v="1.43"/>
    <n v="2.87"/>
    <n v="1"/>
    <m/>
    <n v="1.43"/>
    <m/>
    <n v="2.87"/>
    <m/>
    <n v="2.2000000000000002"/>
    <m/>
  </r>
  <r>
    <x v="0"/>
    <x v="0"/>
    <x v="0"/>
    <x v="1"/>
    <s v="QA"/>
    <m/>
    <m/>
    <s v="In"/>
    <x v="0"/>
    <s v="QA"/>
    <n v="1.75"/>
    <n v="4.25"/>
    <n v="1"/>
    <m/>
    <n v="1.75"/>
    <m/>
    <n v="4.25"/>
    <m/>
    <n v="3"/>
    <m/>
  </r>
  <r>
    <x v="0"/>
    <x v="0"/>
    <x v="0"/>
    <x v="1"/>
    <s v="Infra and data base management"/>
    <m/>
    <m/>
    <s v="In"/>
    <x v="0"/>
    <s v="Infra and data base management"/>
    <n v="0.5"/>
    <n v="1"/>
    <n v="1"/>
    <m/>
    <n v="0.5"/>
    <m/>
    <n v="1"/>
    <m/>
    <n v="0.8"/>
    <m/>
  </r>
  <r>
    <x v="0"/>
    <x v="0"/>
    <x v="0"/>
    <x v="1"/>
    <s v="UI designer"/>
    <m/>
    <m/>
    <s v="In"/>
    <x v="0"/>
    <s v="UI designer"/>
    <n v="1"/>
    <n v="2"/>
    <n v="1"/>
    <m/>
    <n v="1"/>
    <m/>
    <n v="2"/>
    <m/>
    <n v="1.5"/>
    <m/>
  </r>
  <r>
    <x v="0"/>
    <x v="0"/>
    <x v="0"/>
    <x v="1"/>
    <s v="Site Dev"/>
    <m/>
    <m/>
    <s v="In"/>
    <x v="0"/>
    <s v="Site Dev"/>
    <n v="0.5"/>
    <n v="1"/>
    <n v="1"/>
    <m/>
    <n v="0.5"/>
    <m/>
    <n v="1"/>
    <m/>
    <n v="0.8"/>
    <m/>
  </r>
  <r>
    <x v="0"/>
    <x v="0"/>
    <x v="0"/>
    <x v="1"/>
    <m/>
    <m/>
    <m/>
    <s v="In"/>
    <x v="0"/>
    <m/>
    <m/>
    <m/>
    <n v="1"/>
    <m/>
    <s v=""/>
    <m/>
    <s v=""/>
    <m/>
    <s v=""/>
    <m/>
  </r>
  <r>
    <x v="0"/>
    <x v="0"/>
    <x v="0"/>
    <x v="1"/>
    <m/>
    <m/>
    <m/>
    <s v="In"/>
    <x v="0"/>
    <m/>
    <m/>
    <m/>
    <n v="1"/>
    <m/>
    <s v=""/>
    <m/>
    <s v=""/>
    <m/>
    <s v=""/>
    <m/>
  </r>
  <r>
    <x v="0"/>
    <x v="0"/>
    <x v="0"/>
    <x v="1"/>
    <m/>
    <m/>
    <m/>
    <s v="In"/>
    <x v="0"/>
    <m/>
    <m/>
    <m/>
    <n v="1"/>
    <m/>
    <s v=""/>
    <m/>
    <s v=""/>
    <m/>
    <s v=""/>
    <m/>
  </r>
  <r>
    <x v="0"/>
    <x v="0"/>
    <x v="0"/>
    <x v="1"/>
    <m/>
    <m/>
    <m/>
    <s v="In"/>
    <x v="0"/>
    <m/>
    <m/>
    <m/>
    <n v="1"/>
    <m/>
    <s v=""/>
    <m/>
    <s v=""/>
    <m/>
    <s v=""/>
    <m/>
  </r>
  <r>
    <x v="0"/>
    <x v="0"/>
    <x v="0"/>
    <x v="1"/>
    <m/>
    <m/>
    <m/>
    <s v="In"/>
    <x v="0"/>
    <m/>
    <m/>
    <m/>
    <n v="1"/>
    <m/>
    <s v=""/>
    <m/>
    <s v=""/>
    <m/>
    <s v=""/>
    <m/>
  </r>
  <r>
    <x v="0"/>
    <x v="0"/>
    <x v="0"/>
    <x v="1"/>
    <m/>
    <m/>
    <m/>
    <s v="In"/>
    <x v="0"/>
    <m/>
    <m/>
    <m/>
    <n v="1"/>
    <m/>
    <s v=""/>
    <m/>
    <s v=""/>
    <m/>
    <s v=""/>
    <m/>
  </r>
  <r>
    <x v="0"/>
    <x v="0"/>
    <x v="0"/>
    <x v="1"/>
    <m/>
    <m/>
    <m/>
    <s v="In"/>
    <x v="0"/>
    <m/>
    <m/>
    <m/>
    <n v="1"/>
    <m/>
    <s v=""/>
    <m/>
    <s v=""/>
    <m/>
    <s v=""/>
    <m/>
  </r>
  <r>
    <x v="0"/>
    <x v="0"/>
    <x v="0"/>
    <x v="1"/>
    <m/>
    <m/>
    <m/>
    <s v="In"/>
    <x v="0"/>
    <m/>
    <m/>
    <m/>
    <n v="1"/>
    <m/>
    <s v=""/>
    <m/>
    <s v=""/>
    <m/>
    <s v=""/>
    <m/>
  </r>
  <r>
    <x v="0"/>
    <x v="0"/>
    <x v="0"/>
    <x v="1"/>
    <m/>
    <m/>
    <m/>
    <s v="In"/>
    <x v="0"/>
    <m/>
    <m/>
    <m/>
    <n v="1"/>
    <m/>
    <s v=""/>
    <m/>
    <s v=""/>
    <m/>
    <s v=""/>
    <m/>
  </r>
  <r>
    <x v="0"/>
    <x v="0"/>
    <x v="0"/>
    <x v="1"/>
    <m/>
    <m/>
    <m/>
    <s v="In"/>
    <x v="0"/>
    <m/>
    <m/>
    <m/>
    <n v="1"/>
    <m/>
    <s v=""/>
    <m/>
    <s v=""/>
    <m/>
    <s v=""/>
    <m/>
  </r>
  <r>
    <x v="0"/>
    <x v="0"/>
    <x v="0"/>
    <x v="1"/>
    <m/>
    <m/>
    <m/>
    <s v="In"/>
    <x v="0"/>
    <m/>
    <m/>
    <m/>
    <n v="1"/>
    <m/>
    <s v=""/>
    <m/>
    <s v=""/>
    <m/>
    <s v=""/>
    <m/>
  </r>
  <r>
    <x v="0"/>
    <x v="0"/>
    <x v="0"/>
    <x v="1"/>
    <m/>
    <m/>
    <m/>
    <s v="In"/>
    <x v="0"/>
    <m/>
    <m/>
    <m/>
    <n v="1"/>
    <m/>
    <s v=""/>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47" applyNumberFormats="0" applyBorderFormats="0" applyFontFormats="0" applyPatternFormats="0" applyAlignmentFormats="0" applyWidthHeightFormats="1" dataCaption="Values" updatedVersion="4" minRefreshableVersion="3" useAutoFormatting="1" itemPrintTitles="1" createdVersion="4" indent="0" compact="0" compactData="0" gridDropZones="1" multipleFieldFilters="0">
  <location ref="O9:Q12" firstHeaderRow="2" firstDataRow="2" firstDataCol="2" rowPageCount="3" colPageCount="1"/>
  <pivotFields count="20">
    <pivotField axis="axisRow" compact="0" outline="0" showAll="0" defaultSubtotal="0">
      <items count="1">
        <item sd="0" x="0"/>
      </items>
    </pivotField>
    <pivotField axis="axisRow" compact="0" outline="0" showAll="0" defaultSubtotal="0">
      <items count="1">
        <item x="0"/>
      </items>
    </pivotField>
    <pivotField axis="axisPage" compact="0" outline="0" multipleItemSelectionAllowed="1" showAll="0" defaultSubtotal="0">
      <items count="1">
        <item x="0"/>
      </items>
    </pivotField>
    <pivotField axis="axisPage" compact="0" outline="0" multipleItemSelectionAllowed="1" showAll="0" defaultSubtotal="0">
      <items count="2">
        <item x="1"/>
        <item x="0"/>
      </items>
    </pivotField>
    <pivotField compact="0" outline="0" showAll="0"/>
    <pivotField compact="0" outline="0" showAll="0"/>
    <pivotField compact="0" outline="0" showAll="0"/>
    <pivotField compact="0" outline="0" showAll="0" defaultSubtotal="0"/>
    <pivotField axis="axisPage" compact="0" outline="0" showAll="0">
      <items count="2">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dataField="1" compact="0" outline="0" showAll="0" defaultSubtotal="0"/>
    <pivotField compact="0" outline="0" showAll="0" defaultSubtotal="0"/>
  </pivotFields>
  <rowFields count="2">
    <field x="0"/>
    <field x="1"/>
  </rowFields>
  <rowItems count="2">
    <i>
      <x/>
    </i>
    <i t="grand">
      <x/>
    </i>
  </rowItems>
  <colItems count="1">
    <i/>
  </colItems>
  <pageFields count="3">
    <pageField fld="3" hier="-1"/>
    <pageField fld="2" hier="-1"/>
    <pageField fld="8" hier="-1"/>
  </pageFields>
  <dataFields count="1">
    <dataField name="Sum of Buffered" fld="18" baseField="0" baseItem="1" numFmtId="2"/>
  </dataFields>
  <formats count="31">
    <format dxfId="78">
      <pivotArea type="all" dataOnly="0" outline="0" fieldPosition="0"/>
    </format>
    <format dxfId="77">
      <pivotArea type="all" dataOnly="0" outline="0" fieldPosition="0"/>
    </format>
    <format dxfId="76">
      <pivotArea outline="0" collapsedLevelsAreSubtotals="1" fieldPosition="0"/>
    </format>
    <format dxfId="75">
      <pivotArea dataOnly="0" labelOnly="1" grandRow="1" outline="0" fieldPosition="0"/>
    </format>
    <format dxfId="74">
      <pivotArea grandRow="1" outline="0" collapsedLevelsAreSubtotals="1" fieldPosition="0"/>
    </format>
    <format dxfId="73">
      <pivotArea dataOnly="0" labelOnly="1" grandRow="1" outline="0" fieldPosition="0"/>
    </format>
    <format dxfId="72">
      <pivotArea type="origin" dataOnly="0" labelOnly="1" outline="0" fieldPosition="0"/>
    </format>
    <format dxfId="71">
      <pivotArea type="topRight" dataOnly="0" labelOnly="1" outline="0" fieldPosition="0"/>
    </format>
    <format dxfId="70">
      <pivotArea outline="0" collapsedLevelsAreSubtotals="1" fieldPosition="0"/>
    </format>
    <format dxfId="69">
      <pivotArea type="topRight" dataOnly="0" labelOnly="1" outline="0" fieldPosition="0"/>
    </format>
    <format dxfId="68">
      <pivotArea field="2" type="button" dataOnly="0" labelOnly="1" outline="0" axis="axisPage" fieldPosition="1"/>
    </format>
    <format dxfId="67">
      <pivotArea field="3" type="button" dataOnly="0" labelOnly="1" outline="0" axis="axisPage" fieldPosition="0"/>
    </format>
    <format dxfId="66">
      <pivotArea type="origin" dataOnly="0" labelOnly="1" outline="0" offset="A1" fieldPosition="0"/>
    </format>
    <format dxfId="65">
      <pivotArea field="2" type="button" dataOnly="0" labelOnly="1" outline="0" axis="axisPage" fieldPosition="1"/>
    </format>
    <format dxfId="64">
      <pivotArea field="3" type="button" dataOnly="0" labelOnly="1" outline="0" axis="axisPage" fieldPosition="0"/>
    </format>
    <format dxfId="63">
      <pivotArea field="3" type="button" dataOnly="0" labelOnly="1" outline="0" axis="axisPage" fieldPosition="0"/>
    </format>
    <format dxfId="62">
      <pivotArea type="all" dataOnly="0" outline="0" fieldPosition="0"/>
    </format>
    <format dxfId="61">
      <pivotArea field="0" type="button" dataOnly="0" labelOnly="1" outline="0" axis="axisRow" fieldPosition="0"/>
    </format>
    <format dxfId="60">
      <pivotArea field="1" type="button" dataOnly="0" labelOnly="1" outline="0" axis="axisRow" fieldPosition="1"/>
    </format>
    <format dxfId="59">
      <pivotArea outline="0" collapsedLevelsAreSubtotals="1" fieldPosition="0">
        <references count="2">
          <reference field="0" count="0" selected="0"/>
          <reference field="1" count="0" selected="0"/>
        </references>
      </pivotArea>
    </format>
    <format dxfId="58">
      <pivotArea dataOnly="0" labelOnly="1" outline="0" fieldPosition="0">
        <references count="1">
          <reference field="0" count="0"/>
        </references>
      </pivotArea>
    </format>
    <format dxfId="57">
      <pivotArea dataOnly="0" labelOnly="1" outline="0" offset="IV256" fieldPosition="0">
        <references count="1">
          <reference field="0" count="1">
            <x v="0"/>
          </reference>
        </references>
      </pivotArea>
    </format>
    <format dxfId="56">
      <pivotArea dataOnly="0" labelOnly="1" grandRow="1" outline="0" offset="IV256" fieldPosition="0"/>
    </format>
    <format dxfId="55">
      <pivotArea dataOnly="0" labelOnly="1" outline="0" fieldPosition="0">
        <references count="1">
          <reference field="3" count="0"/>
        </references>
      </pivotArea>
    </format>
    <format dxfId="54">
      <pivotArea dataOnly="0" labelOnly="1" outline="0" fieldPosition="0">
        <references count="1">
          <reference field="2" count="0"/>
        </references>
      </pivotArea>
    </format>
    <format dxfId="53">
      <pivotArea dataOnly="0" labelOnly="1" outline="0" fieldPosition="0">
        <references count="1">
          <reference field="8" count="0"/>
        </references>
      </pivotArea>
    </format>
    <format dxfId="52">
      <pivotArea dataOnly="0" labelOnly="1" outline="0" fieldPosition="0">
        <references count="1">
          <reference field="3" count="0"/>
        </references>
      </pivotArea>
    </format>
    <format dxfId="51">
      <pivotArea dataOnly="0" labelOnly="1" outline="0" fieldPosition="0">
        <references count="1">
          <reference field="2" count="0"/>
        </references>
      </pivotArea>
    </format>
    <format dxfId="50">
      <pivotArea dataOnly="0" labelOnly="1" outline="0" fieldPosition="0">
        <references count="1">
          <reference field="8" count="0"/>
        </references>
      </pivotArea>
    </format>
    <format dxfId="49">
      <pivotArea field="2" type="button" dataOnly="0" labelOnly="1" outline="0" axis="axisPage" fieldPosition="1"/>
    </format>
    <format dxfId="48">
      <pivotArea field="8" type="button" dataOnly="0" labelOnly="1" outline="0" axis="axisPage" fieldPosition="2"/>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47" applyNumberFormats="0" applyBorderFormats="0" applyFontFormats="0" applyPatternFormats="0" applyAlignmentFormats="0" applyWidthHeightFormats="1" dataCaption="Values" updatedVersion="4" minRefreshableVersion="3" useAutoFormatting="1" itemPrintTitles="1" createdVersion="4" indent="0" compact="0" compactData="0" gridDropZones="1" multipleFieldFilters="0">
  <location ref="S7:U11" firstHeaderRow="1" firstDataRow="2" firstDataCol="1" rowPageCount="1" colPageCount="1"/>
  <pivotFields count="20">
    <pivotField compact="0" outline="0" showAll="0" defaultSubtotal="0">
      <items count="1">
        <item sd="0" x="0"/>
      </items>
    </pivotField>
    <pivotField compact="0" outline="0" showAll="0" defaultSubtotal="0"/>
    <pivotField axis="axisCol" compact="0" outline="0" multipleItemSelectionAllowed="1" showAll="0" defaultSubtotal="0">
      <items count="1">
        <item x="0"/>
      </items>
    </pivotField>
    <pivotField axis="axisRow" compact="0" outline="0" multipleItemSelectionAllowed="1" showAll="0" defaultSubtotal="0">
      <items count="2">
        <item x="1"/>
        <item x="0"/>
      </items>
    </pivotField>
    <pivotField compact="0" outline="0" showAll="0"/>
    <pivotField compact="0" outline="0" showAll="0"/>
    <pivotField compact="0" outline="0" showAll="0"/>
    <pivotField compact="0" outline="0" showAll="0" defaultSubtotal="0"/>
    <pivotField axis="axisPage" compact="0" outline="0" showAll="0">
      <items count="2">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dataField="1" compact="0" outline="0" showAll="0" defaultSubtotal="0"/>
    <pivotField compact="0" outline="0" showAll="0" defaultSubtotal="0"/>
  </pivotFields>
  <rowFields count="1">
    <field x="3"/>
  </rowFields>
  <rowItems count="3">
    <i>
      <x/>
    </i>
    <i>
      <x v="1"/>
    </i>
    <i t="grand">
      <x/>
    </i>
  </rowItems>
  <colFields count="1">
    <field x="2"/>
  </colFields>
  <colItems count="2">
    <i>
      <x/>
    </i>
    <i t="grand">
      <x/>
    </i>
  </colItems>
  <pageFields count="1">
    <pageField fld="8" hier="-1"/>
  </pageFields>
  <dataFields count="1">
    <dataField name="Sum of Buffered" fld="18" baseField="0" baseItem="1" numFmtId="2"/>
  </dataFields>
  <formats count="30">
    <format dxfId="108">
      <pivotArea type="all" dataOnly="0" outline="0" fieldPosition="0"/>
    </format>
    <format dxfId="107">
      <pivotArea type="all" dataOnly="0" outline="0" fieldPosition="0"/>
    </format>
    <format dxfId="106">
      <pivotArea outline="0" collapsedLevelsAreSubtotals="1" fieldPosition="0"/>
    </format>
    <format dxfId="105">
      <pivotArea dataOnly="0" labelOnly="1" grandRow="1" outline="0" fieldPosition="0"/>
    </format>
    <format dxfId="104">
      <pivotArea grandRow="1" outline="0" collapsedLevelsAreSubtotals="1" fieldPosition="0"/>
    </format>
    <format dxfId="103">
      <pivotArea dataOnly="0" labelOnly="1" grandRow="1" outline="0" fieldPosition="0"/>
    </format>
    <format dxfId="102">
      <pivotArea type="origin" dataOnly="0" labelOnly="1" outline="0" fieldPosition="0"/>
    </format>
    <format dxfId="101">
      <pivotArea type="topRight" dataOnly="0" labelOnly="1" outline="0" fieldPosition="0"/>
    </format>
    <format dxfId="100">
      <pivotArea type="topRight" dataOnly="0" labelOnly="1" outline="0" fieldPosition="0"/>
    </format>
    <format dxfId="99">
      <pivotArea field="2" type="button" dataOnly="0" labelOnly="1" outline="0" axis="axisCol" fieldPosition="0"/>
    </format>
    <format dxfId="98">
      <pivotArea dataOnly="0" labelOnly="1" outline="0" fieldPosition="0">
        <references count="1">
          <reference field="2" count="0"/>
        </references>
      </pivotArea>
    </format>
    <format dxfId="97">
      <pivotArea field="3" type="button" dataOnly="0" labelOnly="1" outline="0" axis="axisRow" fieldPosition="0"/>
    </format>
    <format dxfId="96">
      <pivotArea dataOnly="0" labelOnly="1" outline="0" fieldPosition="0">
        <references count="1">
          <reference field="3" count="0"/>
        </references>
      </pivotArea>
    </format>
    <format dxfId="95">
      <pivotArea type="origin" dataOnly="0" labelOnly="1" outline="0" offset="A1" fieldPosition="0"/>
    </format>
    <format dxfId="94">
      <pivotArea field="2" type="button" dataOnly="0" labelOnly="1" outline="0" axis="axisCol" fieldPosition="0"/>
    </format>
    <format dxfId="93">
      <pivotArea field="3" type="button" dataOnly="0" labelOnly="1" outline="0" axis="axisRow" fieldPosition="0"/>
    </format>
    <format dxfId="92">
      <pivotArea field="2" type="button" dataOnly="0" labelOnly="1" outline="0" axis="axisCol" fieldPosition="0"/>
    </format>
    <format dxfId="91">
      <pivotArea field="3" type="button" dataOnly="0" labelOnly="1" outline="0" axis="axisRow" fieldPosition="0"/>
    </format>
    <format dxfId="90">
      <pivotArea type="origin" dataOnly="0" labelOnly="1" outline="0" fieldPosition="0"/>
    </format>
    <format dxfId="89">
      <pivotArea field="0" type="button" dataOnly="0" labelOnly="1" outline="0"/>
    </format>
    <format dxfId="88">
      <pivotArea field="2" type="button" dataOnly="0" labelOnly="1" outline="0" axis="axisCol" fieldPosition="0"/>
    </format>
    <format dxfId="87">
      <pivotArea outline="0" collapsedLevelsAreSubtotals="1" fieldPosition="0"/>
    </format>
    <format dxfId="86">
      <pivotArea field="3" type="button" dataOnly="0" labelOnly="1" outline="0" axis="axisRow" fieldPosition="0"/>
    </format>
    <format dxfId="85">
      <pivotArea dataOnly="0" labelOnly="1" outline="0" fieldPosition="0">
        <references count="1">
          <reference field="3" count="0"/>
        </references>
      </pivotArea>
    </format>
    <format dxfId="84">
      <pivotArea dataOnly="0" labelOnly="1" grandRow="1" outline="0" fieldPosition="0"/>
    </format>
    <format dxfId="83">
      <pivotArea dataOnly="0" labelOnly="1" outline="0" fieldPosition="0">
        <references count="1">
          <reference field="2" count="0"/>
        </references>
      </pivotArea>
    </format>
    <format dxfId="82">
      <pivotArea dataOnly="0" labelOnly="1" grandCol="1" outline="0" fieldPosition="0"/>
    </format>
    <format dxfId="81">
      <pivotArea outline="0" collapsedLevelsAreSubtotals="1" fieldPosition="0">
        <references count="1">
          <reference field="3" count="0" selected="0"/>
        </references>
      </pivotArea>
    </format>
    <format dxfId="80">
      <pivotArea dataOnly="0" labelOnly="1" outline="0" fieldPosition="0">
        <references count="1">
          <reference field="3" count="0"/>
        </references>
      </pivotArea>
    </format>
    <format dxfId="79">
      <pivotArea outline="0" collapsedLevelsAreSubtotals="1" fieldPosition="0">
        <references count="1">
          <reference field="2" count="0" selected="0"/>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vmlDrawing" Target="../drawings/vmlDrawing9.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14.vml"/><Relationship Id="rId7" Type="http://schemas.openxmlformats.org/officeDocument/2006/relationships/ctrlProp" Target="../ctrlProps/ctrlProp6.xml"/><Relationship Id="rId2" Type="http://schemas.openxmlformats.org/officeDocument/2006/relationships/vmlDrawing" Target="../drawings/vmlDrawing13.vml"/><Relationship Id="rId1" Type="http://schemas.openxmlformats.org/officeDocument/2006/relationships/drawing" Target="../drawings/drawing7.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vmlDrawing" Target="../drawings/vmlDrawing16.v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pageSetUpPr fitToPage="1"/>
  </sheetPr>
  <dimension ref="B1:G10"/>
  <sheetViews>
    <sheetView showGridLines="0" workbookViewId="0">
      <selection activeCell="C5" sqref="C5:E5"/>
    </sheetView>
  </sheetViews>
  <sheetFormatPr defaultColWidth="8.875" defaultRowHeight="15.75" x14ac:dyDescent="0.25"/>
  <cols>
    <col min="1" max="1" width="1.875" customWidth="1"/>
    <col min="2" max="2" width="26.875" customWidth="1"/>
    <col min="3" max="3" width="133" customWidth="1"/>
    <col min="4" max="4" width="1.875" customWidth="1"/>
    <col min="5" max="5" width="0.625" customWidth="1"/>
    <col min="6" max="6" width="0" hidden="1" customWidth="1"/>
  </cols>
  <sheetData>
    <row r="1" spans="2:7" ht="11.25" customHeight="1" x14ac:dyDescent="0.25"/>
    <row r="2" spans="2:7" ht="22.5" customHeight="1" x14ac:dyDescent="0.25">
      <c r="C2" s="1" t="s">
        <v>6</v>
      </c>
    </row>
    <row r="3" spans="2:7" ht="22.5" customHeight="1" x14ac:dyDescent="0.25">
      <c r="C3" s="3" t="str">
        <f>CONCATENATE("S|A - Estimation Tool v", tool_version_check)</f>
        <v>S|A - Estimation Tool v6.1.0</v>
      </c>
    </row>
    <row r="4" spans="2:7" ht="11.25" customHeight="1" x14ac:dyDescent="0.25"/>
    <row r="5" spans="2:7" ht="51.75" customHeight="1" x14ac:dyDescent="0.25">
      <c r="B5" s="67" t="s">
        <v>0</v>
      </c>
      <c r="C5" s="498" t="s">
        <v>5</v>
      </c>
      <c r="D5" s="499"/>
      <c r="E5" s="500"/>
      <c r="G5" t="str">
        <f>TEXT(,"")</f>
        <v/>
      </c>
    </row>
    <row r="6" spans="2:7" ht="174.75" customHeight="1" x14ac:dyDescent="0.25">
      <c r="B6" s="68" t="s">
        <v>1</v>
      </c>
      <c r="C6" s="501" t="s">
        <v>1278</v>
      </c>
      <c r="D6" s="502"/>
      <c r="E6" s="503"/>
    </row>
    <row r="7" spans="2:7" ht="409.5" customHeight="1" x14ac:dyDescent="0.25">
      <c r="B7" s="68" t="s">
        <v>827</v>
      </c>
      <c r="C7" s="501" t="s">
        <v>1279</v>
      </c>
      <c r="D7" s="502"/>
      <c r="E7" s="503"/>
    </row>
    <row r="8" spans="2:7" ht="195" customHeight="1" x14ac:dyDescent="0.25">
      <c r="B8" s="68" t="s">
        <v>2</v>
      </c>
      <c r="C8" s="501" t="s">
        <v>1282</v>
      </c>
      <c r="D8" s="502"/>
      <c r="E8" s="503"/>
    </row>
    <row r="9" spans="2:7" ht="54.75" customHeight="1" x14ac:dyDescent="0.25">
      <c r="B9" s="68" t="s">
        <v>3</v>
      </c>
      <c r="C9" s="501" t="s">
        <v>1288</v>
      </c>
      <c r="D9" s="502"/>
      <c r="E9" s="503"/>
    </row>
    <row r="10" spans="2:7" ht="45.75" customHeight="1" x14ac:dyDescent="0.25">
      <c r="B10" s="69" t="s">
        <v>4</v>
      </c>
      <c r="C10" s="495" t="s">
        <v>1189</v>
      </c>
      <c r="D10" s="496"/>
      <c r="E10" s="497"/>
    </row>
  </sheetData>
  <dataConsolidate/>
  <mergeCells count="6">
    <mergeCell ref="C10:E10"/>
    <mergeCell ref="C5:E5"/>
    <mergeCell ref="C6:E6"/>
    <mergeCell ref="C7:E7"/>
    <mergeCell ref="C8:E8"/>
    <mergeCell ref="C9:E9"/>
  </mergeCells>
  <pageMargins left="0.39370078740157499" right="0.39370078740157499" top="0.59055118110236204" bottom="0.59055118110236204" header="0.196850393700787" footer="0.196850393700787"/>
  <pageSetup scale="71" orientation="portrait" r:id="rId1"/>
  <headerFooter>
    <oddFooter>&amp;L&amp;"Calibri,Regular"&amp;9&amp;D&amp;C&amp;9&amp;GSapient Confidential
                &amp;6   Estimation Tool V5.0.0&amp;R&amp;"Calibri,Regular"&amp;9Page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igration_Procedure">
                <anchor moveWithCells="1" sizeWithCells="1">
                  <from>
                    <xdr:col>2</xdr:col>
                    <xdr:colOff>2819400</xdr:colOff>
                    <xdr:row>1</xdr:row>
                    <xdr:rowOff>66675</xdr:rowOff>
                  </from>
                  <to>
                    <xdr:col>2</xdr:col>
                    <xdr:colOff>4038600</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pageSetUpPr fitToPage="1"/>
  </sheetPr>
  <dimension ref="A1:D31"/>
  <sheetViews>
    <sheetView showGridLines="0" workbookViewId="0">
      <selection activeCell="C10" sqref="C10"/>
    </sheetView>
  </sheetViews>
  <sheetFormatPr defaultColWidth="8.875" defaultRowHeight="15.75" x14ac:dyDescent="0.25"/>
  <cols>
    <col min="1" max="1" width="1.875" customWidth="1"/>
    <col min="2" max="2" width="30.625" customWidth="1"/>
    <col min="3" max="3" width="33.5" customWidth="1"/>
    <col min="4" max="4" width="26.5" customWidth="1"/>
    <col min="5" max="5" width="14.375" customWidth="1"/>
  </cols>
  <sheetData>
    <row r="1" spans="1:4" ht="49.5" customHeight="1" x14ac:dyDescent="0.25">
      <c r="A1" s="4"/>
      <c r="B1" s="348" t="s">
        <v>7</v>
      </c>
      <c r="C1" s="349" t="str">
        <f>CONCATENATE(project_name, " | ", IF(LEN(project_phase)&gt;0,project_phase &amp; " ",""),"Estimation")</f>
        <v>CAI Cycle 7 Stage I QA | Estimation</v>
      </c>
    </row>
    <row r="2" spans="1:4" ht="8.25" customHeight="1" x14ac:dyDescent="0.25">
      <c r="C2" s="1"/>
    </row>
    <row r="3" spans="1:4" ht="15.75" customHeight="1" x14ac:dyDescent="0.25">
      <c r="B3" s="64" t="s">
        <v>8</v>
      </c>
      <c r="C3" s="322" t="s">
        <v>1291</v>
      </c>
    </row>
    <row r="4" spans="1:4" ht="15.75" customHeight="1" x14ac:dyDescent="0.25">
      <c r="B4" s="65" t="s">
        <v>9</v>
      </c>
      <c r="C4" s="323">
        <v>116765</v>
      </c>
    </row>
    <row r="5" spans="1:4" ht="15.75" customHeight="1" x14ac:dyDescent="0.25">
      <c r="B5" s="65" t="s">
        <v>27</v>
      </c>
      <c r="C5" s="323"/>
    </row>
    <row r="6" spans="1:4" ht="15.75" customHeight="1" x14ac:dyDescent="0.25">
      <c r="B6" s="65" t="s">
        <v>10</v>
      </c>
      <c r="C6" s="323" t="s">
        <v>1188</v>
      </c>
    </row>
    <row r="7" spans="1:4" ht="15.75" customHeight="1" x14ac:dyDescent="0.25">
      <c r="B7" s="66" t="s">
        <v>11</v>
      </c>
      <c r="C7" s="324"/>
    </row>
    <row r="8" spans="1:4" ht="25.5" customHeight="1" x14ac:dyDescent="0.25">
      <c r="B8" s="4" t="s">
        <v>1201</v>
      </c>
    </row>
    <row r="9" spans="1:4" x14ac:dyDescent="0.25">
      <c r="B9" s="456" t="s">
        <v>30</v>
      </c>
      <c r="C9" s="457" t="s">
        <v>1190</v>
      </c>
      <c r="D9" s="458" t="s">
        <v>543</v>
      </c>
    </row>
    <row r="10" spans="1:4" x14ac:dyDescent="0.25">
      <c r="B10" s="477" t="s">
        <v>17</v>
      </c>
      <c r="C10" s="459" t="s">
        <v>17</v>
      </c>
      <c r="D10" s="460" t="s">
        <v>17</v>
      </c>
    </row>
    <row r="11" spans="1:4" x14ac:dyDescent="0.25">
      <c r="B11" s="453" t="s">
        <v>1323</v>
      </c>
      <c r="C11" s="454"/>
      <c r="D11" s="455"/>
    </row>
    <row r="12" spans="1:4" x14ac:dyDescent="0.25">
      <c r="B12" s="453" t="s">
        <v>1314</v>
      </c>
      <c r="C12" s="438"/>
      <c r="D12" s="439"/>
    </row>
    <row r="13" spans="1:4" x14ac:dyDescent="0.25">
      <c r="B13" s="437" t="s">
        <v>1324</v>
      </c>
      <c r="C13" s="438"/>
      <c r="D13" s="439"/>
    </row>
    <row r="14" spans="1:4" x14ac:dyDescent="0.25">
      <c r="B14" s="437" t="s">
        <v>157</v>
      </c>
      <c r="C14" s="438"/>
      <c r="D14" s="439"/>
    </row>
    <row r="15" spans="1:4" x14ac:dyDescent="0.25">
      <c r="B15" s="437" t="s">
        <v>1322</v>
      </c>
      <c r="C15" s="438"/>
      <c r="D15" s="439"/>
    </row>
    <row r="16" spans="1:4" x14ac:dyDescent="0.25">
      <c r="B16" s="437"/>
      <c r="C16" s="438"/>
      <c r="D16" s="439"/>
    </row>
    <row r="17" spans="2:4" x14ac:dyDescent="0.25">
      <c r="B17" s="437"/>
      <c r="C17" s="438"/>
      <c r="D17" s="439"/>
    </row>
    <row r="18" spans="2:4" x14ac:dyDescent="0.25">
      <c r="B18" s="437"/>
      <c r="C18" s="438"/>
      <c r="D18" s="439"/>
    </row>
    <row r="19" spans="2:4" x14ac:dyDescent="0.25">
      <c r="B19" s="437"/>
      <c r="C19" s="438"/>
      <c r="D19" s="439"/>
    </row>
    <row r="20" spans="2:4" x14ac:dyDescent="0.25">
      <c r="B20" s="437"/>
      <c r="C20" s="438"/>
      <c r="D20" s="439"/>
    </row>
    <row r="21" spans="2:4" x14ac:dyDescent="0.25">
      <c r="B21" s="437"/>
      <c r="C21" s="438"/>
      <c r="D21" s="439"/>
    </row>
    <row r="22" spans="2:4" x14ac:dyDescent="0.25">
      <c r="B22" s="437"/>
      <c r="C22" s="438"/>
      <c r="D22" s="439"/>
    </row>
    <row r="23" spans="2:4" x14ac:dyDescent="0.25">
      <c r="B23" s="437"/>
      <c r="C23" s="438"/>
      <c r="D23" s="439"/>
    </row>
    <row r="24" spans="2:4" x14ac:dyDescent="0.25">
      <c r="B24" s="437"/>
      <c r="C24" s="438"/>
      <c r="D24" s="439"/>
    </row>
    <row r="25" spans="2:4" x14ac:dyDescent="0.25">
      <c r="B25" s="437"/>
      <c r="C25" s="438"/>
      <c r="D25" s="439"/>
    </row>
    <row r="26" spans="2:4" x14ac:dyDescent="0.25">
      <c r="B26" s="437"/>
      <c r="C26" s="438"/>
      <c r="D26" s="439"/>
    </row>
    <row r="27" spans="2:4" x14ac:dyDescent="0.25">
      <c r="B27" s="437"/>
      <c r="C27" s="438"/>
      <c r="D27" s="439"/>
    </row>
    <row r="28" spans="2:4" x14ac:dyDescent="0.25">
      <c r="B28" s="437"/>
      <c r="C28" s="438"/>
      <c r="D28" s="439"/>
    </row>
    <row r="29" spans="2:4" x14ac:dyDescent="0.25">
      <c r="B29" s="437"/>
      <c r="C29" s="438"/>
      <c r="D29" s="439"/>
    </row>
    <row r="30" spans="2:4" x14ac:dyDescent="0.25">
      <c r="B30" s="437"/>
      <c r="C30" s="438"/>
      <c r="D30" s="439"/>
    </row>
    <row r="31" spans="2:4" x14ac:dyDescent="0.25">
      <c r="B31" s="440"/>
      <c r="C31" s="441"/>
      <c r="D31" s="442"/>
    </row>
  </sheetData>
  <dataConsolidate/>
  <dataValidations count="2">
    <dataValidation type="list" allowBlank="1" showInputMessage="1" showErrorMessage="1" sqref="C7">
      <formula1>list_delivery_types</formula1>
    </dataValidation>
    <dataValidation type="list" allowBlank="1" showInputMessage="1" showErrorMessage="1" sqref="C5">
      <formula1>list_sa_phases</formula1>
    </dataValidation>
  </dataValidations>
  <pageMargins left="0.39370078740157499" right="0.39370078740157499" top="0.59055118110236204" bottom="0.59055118110236204" header="0.196850393700787" footer="0.196850393700787"/>
  <pageSetup scale="97" orientation="portrait"/>
  <headerFooter>
    <oddFooter>&amp;L&amp;"Calibri,Regular"&amp;9&amp;D&amp;C&amp;"Calibri,Regular"&amp;9&amp;GSapient Confidential
          &amp;6Estimation Tool V5.0.0&amp;R&amp;"Calibri,Regular"&amp;9Page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outlinePr summaryBelow="0"/>
    <pageSetUpPr fitToPage="1"/>
  </sheetPr>
  <dimension ref="A1:M106"/>
  <sheetViews>
    <sheetView showGridLines="0" workbookViewId="0">
      <selection activeCell="I6" sqref="I6:K25"/>
    </sheetView>
  </sheetViews>
  <sheetFormatPr defaultColWidth="8.875" defaultRowHeight="15.75" outlineLevelRow="1" x14ac:dyDescent="0.25"/>
  <cols>
    <col min="1" max="1" width="1.875" customWidth="1"/>
    <col min="2" max="2" width="7.5" customWidth="1"/>
    <col min="3" max="3" width="22.75" customWidth="1"/>
    <col min="4" max="4" width="20.5" customWidth="1"/>
    <col min="5" max="6" width="6.125" customWidth="1"/>
    <col min="7" max="7" width="25" customWidth="1"/>
    <col min="8" max="8" width="1.875" customWidth="1"/>
    <col min="9" max="9" width="13.875" customWidth="1"/>
    <col min="10" max="10" width="13.5" customWidth="1"/>
    <col min="11" max="11" width="12.125" customWidth="1"/>
    <col min="12" max="13" width="6.625" customWidth="1"/>
    <col min="14" max="14" width="3" customWidth="1"/>
  </cols>
  <sheetData>
    <row r="1" spans="1:13" ht="49.5" customHeight="1" x14ac:dyDescent="0.25">
      <c r="A1" s="4"/>
      <c r="B1" s="348" t="s">
        <v>18</v>
      </c>
      <c r="C1" s="350"/>
      <c r="D1" s="349" t="str">
        <f>project_headline</f>
        <v>CAI Cycle 7 Stage I QA | Estimation</v>
      </c>
      <c r="E1" s="351"/>
      <c r="I1" s="360" t="s">
        <v>26</v>
      </c>
    </row>
    <row r="2" spans="1:13" ht="8.25" customHeight="1" x14ac:dyDescent="0.25"/>
    <row r="3" spans="1:13" ht="15.75" customHeight="1" x14ac:dyDescent="0.25">
      <c r="B3" s="4"/>
      <c r="C3" s="508" t="s">
        <v>20</v>
      </c>
      <c r="D3" s="509"/>
      <c r="E3" s="70" t="s">
        <v>21</v>
      </c>
      <c r="F3" s="70" t="s">
        <v>22</v>
      </c>
      <c r="G3" s="71" t="s">
        <v>23</v>
      </c>
      <c r="I3" s="508" t="s">
        <v>20</v>
      </c>
      <c r="J3" s="512"/>
      <c r="K3" s="509"/>
      <c r="L3" s="73" t="s">
        <v>21</v>
      </c>
      <c r="M3" s="71" t="s">
        <v>22</v>
      </c>
    </row>
    <row r="4" spans="1:13" ht="25.5" customHeight="1" x14ac:dyDescent="0.25">
      <c r="B4" s="63" t="s">
        <v>19</v>
      </c>
      <c r="C4" s="510" t="s">
        <v>1302</v>
      </c>
      <c r="D4" s="511"/>
      <c r="E4" s="72">
        <f>SUM(E5:E6)</f>
        <v>1.25</v>
      </c>
      <c r="F4" s="72">
        <f>SUM(F5:F6)</f>
        <v>2.5</v>
      </c>
      <c r="G4" s="516" t="s">
        <v>24</v>
      </c>
      <c r="I4" s="513" t="s">
        <v>17</v>
      </c>
      <c r="J4" s="514" t="s">
        <v>77</v>
      </c>
      <c r="K4" s="515" t="s">
        <v>77</v>
      </c>
      <c r="L4" s="62"/>
      <c r="M4" s="61"/>
    </row>
    <row r="5" spans="1:13" ht="15.75" customHeight="1" outlineLevel="1" x14ac:dyDescent="0.25">
      <c r="B5" s="57">
        <v>1</v>
      </c>
      <c r="C5" s="504" t="s">
        <v>1290</v>
      </c>
      <c r="D5" s="505"/>
      <c r="E5" s="58">
        <v>0.25</v>
      </c>
      <c r="F5" s="58">
        <v>0.25</v>
      </c>
      <c r="G5" s="516"/>
      <c r="I5" s="544" t="s">
        <v>1302</v>
      </c>
      <c r="J5" s="532"/>
      <c r="K5" s="532"/>
      <c r="L5" s="533">
        <f>VLOOKUP(I5,tasks_metrics_observation_area,3,FALSE)</f>
        <v>1.25</v>
      </c>
      <c r="M5" s="534">
        <f>VLOOKUP(I5,tasks_metrics_observation_area,4,FALSE)</f>
        <v>2.5</v>
      </c>
    </row>
    <row r="6" spans="1:13" ht="15.75" customHeight="1" outlineLevel="1" x14ac:dyDescent="0.25">
      <c r="B6" s="60">
        <v>2</v>
      </c>
      <c r="C6" s="506" t="s">
        <v>1289</v>
      </c>
      <c r="D6" s="507"/>
      <c r="E6" s="59">
        <v>1</v>
      </c>
      <c r="F6" s="59">
        <v>2.25</v>
      </c>
      <c r="G6" s="517"/>
      <c r="I6" s="539" t="s">
        <v>1303</v>
      </c>
      <c r="J6" s="540"/>
      <c r="K6" s="540"/>
      <c r="L6" s="541">
        <f>VLOOKUP(I6,tasks_metrics_observation_area,3,FALSE)</f>
        <v>2.25</v>
      </c>
      <c r="M6" s="542">
        <f>VLOOKUP(I6,tasks_metrics_observation_area,4,FALSE)</f>
        <v>4.5</v>
      </c>
    </row>
    <row r="7" spans="1:13" x14ac:dyDescent="0.25">
      <c r="I7" s="539" t="s">
        <v>1304</v>
      </c>
      <c r="J7" s="540"/>
      <c r="K7" s="540"/>
      <c r="L7" s="541">
        <f>VLOOKUP(I7,tasks_metrics_observation_area,3,FALSE)</f>
        <v>1.6870000000000001</v>
      </c>
      <c r="M7" s="542">
        <f>VLOOKUP(I7,tasks_metrics_observation_area,4,FALSE)</f>
        <v>3.375</v>
      </c>
    </row>
    <row r="8" spans="1:13" x14ac:dyDescent="0.25">
      <c r="B8" s="4"/>
      <c r="C8" s="508" t="s">
        <v>20</v>
      </c>
      <c r="D8" s="509"/>
      <c r="E8" s="494" t="s">
        <v>21</v>
      </c>
      <c r="F8" s="494" t="s">
        <v>22</v>
      </c>
      <c r="G8" s="71" t="s">
        <v>23</v>
      </c>
      <c r="I8" s="539" t="s">
        <v>1305</v>
      </c>
      <c r="J8" s="540"/>
      <c r="K8" s="540"/>
      <c r="L8" s="541">
        <f>VLOOKUP(I8,tasks_metrics_observation_area,3,FALSE)</f>
        <v>1.69</v>
      </c>
      <c r="M8" s="542">
        <f>VLOOKUP(I8,tasks_metrics_observation_area,4,FALSE)</f>
        <v>3.38</v>
      </c>
    </row>
    <row r="9" spans="1:13" ht="23.25" customHeight="1" x14ac:dyDescent="0.25">
      <c r="B9" s="63" t="s">
        <v>19</v>
      </c>
      <c r="C9" s="510" t="s">
        <v>1303</v>
      </c>
      <c r="D9" s="511"/>
      <c r="E9" s="72">
        <f>SUM(E10:E11)</f>
        <v>2.25</v>
      </c>
      <c r="F9" s="72">
        <f>SUM(F10:F11)</f>
        <v>4.5</v>
      </c>
      <c r="G9" s="516"/>
      <c r="I9" s="539" t="s">
        <v>1299</v>
      </c>
      <c r="J9" s="540"/>
      <c r="K9" s="540"/>
      <c r="L9" s="541">
        <f>VLOOKUP(I9,tasks_metrics_observation_area,3,FALSE)</f>
        <v>1.5</v>
      </c>
      <c r="M9" s="542">
        <f>VLOOKUP(I9,tasks_metrics_observation_area,4,FALSE)</f>
        <v>3.25</v>
      </c>
    </row>
    <row r="10" spans="1:13" outlineLevel="1" x14ac:dyDescent="0.25">
      <c r="B10" s="57">
        <v>1</v>
      </c>
      <c r="C10" s="504" t="s">
        <v>1290</v>
      </c>
      <c r="D10" s="505"/>
      <c r="E10" s="58">
        <v>0.25</v>
      </c>
      <c r="F10" s="58">
        <v>0.5</v>
      </c>
      <c r="G10" s="516"/>
      <c r="I10" s="539" t="s">
        <v>1300</v>
      </c>
      <c r="J10" s="540"/>
      <c r="K10" s="540"/>
      <c r="L10" s="541">
        <f>VLOOKUP(I10,tasks_metrics_observation_area,3,FALSE)</f>
        <v>1.05</v>
      </c>
      <c r="M10" s="542">
        <f>VLOOKUP(I10,tasks_metrics_observation_area,4,FALSE)</f>
        <v>2.5</v>
      </c>
    </row>
    <row r="11" spans="1:13" outlineLevel="1" x14ac:dyDescent="0.25">
      <c r="B11" s="60">
        <v>2</v>
      </c>
      <c r="C11" s="506" t="s">
        <v>1292</v>
      </c>
      <c r="D11" s="507"/>
      <c r="E11" s="59">
        <v>2</v>
      </c>
      <c r="F11" s="59">
        <v>4</v>
      </c>
      <c r="G11" s="517"/>
      <c r="I11" s="539" t="s">
        <v>1306</v>
      </c>
      <c r="J11" s="540"/>
      <c r="K11" s="540"/>
      <c r="L11" s="541">
        <f>VLOOKUP(I11,tasks_metrics_observation_area,3,FALSE)</f>
        <v>1.5</v>
      </c>
      <c r="M11" s="542">
        <f>VLOOKUP(I11,tasks_metrics_observation_area,4,FALSE)</f>
        <v>3.15</v>
      </c>
    </row>
    <row r="12" spans="1:13" x14ac:dyDescent="0.25">
      <c r="I12" s="539" t="s">
        <v>1307</v>
      </c>
      <c r="J12" s="540"/>
      <c r="K12" s="540"/>
      <c r="L12" s="541">
        <f>VLOOKUP(I12,tasks_metrics_observation_area,3,FALSE)</f>
        <v>1.05</v>
      </c>
      <c r="M12" s="542">
        <f>VLOOKUP(I12,tasks_metrics_observation_area,4,FALSE)</f>
        <v>2.25</v>
      </c>
    </row>
    <row r="13" spans="1:13" x14ac:dyDescent="0.25">
      <c r="B13" s="4"/>
      <c r="C13" s="508" t="s">
        <v>20</v>
      </c>
      <c r="D13" s="509"/>
      <c r="E13" s="494" t="s">
        <v>21</v>
      </c>
      <c r="F13" s="494" t="s">
        <v>22</v>
      </c>
      <c r="G13" s="71" t="s">
        <v>23</v>
      </c>
      <c r="I13" s="539" t="s">
        <v>1301</v>
      </c>
      <c r="J13" s="540"/>
      <c r="K13" s="540"/>
      <c r="L13" s="541">
        <f>VLOOKUP(I13,tasks_metrics_observation_area,3,FALSE)</f>
        <v>6.37</v>
      </c>
      <c r="M13" s="542">
        <f>VLOOKUP(I13,tasks_metrics_observation_area,4,FALSE)</f>
        <v>12.75</v>
      </c>
    </row>
    <row r="14" spans="1:13" x14ac:dyDescent="0.25">
      <c r="B14" s="63" t="s">
        <v>19</v>
      </c>
      <c r="C14" s="510" t="s">
        <v>1304</v>
      </c>
      <c r="D14" s="511"/>
      <c r="E14" s="72">
        <f>SUM(E15:E16)</f>
        <v>1.6870000000000001</v>
      </c>
      <c r="F14" s="72">
        <f>SUM(F15:F16)</f>
        <v>3.375</v>
      </c>
      <c r="G14" s="516"/>
      <c r="I14" s="539" t="s">
        <v>1308</v>
      </c>
      <c r="J14" s="540"/>
      <c r="K14" s="540"/>
      <c r="L14" s="541">
        <f>VLOOKUP(I14,tasks_metrics_observation_area,3,FALSE)</f>
        <v>5.65</v>
      </c>
      <c r="M14" s="542">
        <f>VLOOKUP(I14,tasks_metrics_observation_area,4,FALSE)</f>
        <v>11.25</v>
      </c>
    </row>
    <row r="15" spans="1:13" outlineLevel="1" x14ac:dyDescent="0.25">
      <c r="B15" s="57">
        <v>1</v>
      </c>
      <c r="C15" s="504" t="s">
        <v>1290</v>
      </c>
      <c r="D15" s="505"/>
      <c r="E15" s="58">
        <v>0.68700000000000006</v>
      </c>
      <c r="F15" s="58">
        <v>0.375</v>
      </c>
      <c r="G15" s="516"/>
      <c r="I15" s="539" t="s">
        <v>1295</v>
      </c>
      <c r="J15" s="540"/>
      <c r="K15" s="540"/>
      <c r="L15" s="541">
        <f>VLOOKUP(I15,tasks_metrics_observation_area,3,FALSE)</f>
        <v>10.62</v>
      </c>
      <c r="M15" s="542">
        <f>VLOOKUP(I15,tasks_metrics_observation_area,4,FALSE)</f>
        <v>5.31</v>
      </c>
    </row>
    <row r="16" spans="1:13" outlineLevel="1" x14ac:dyDescent="0.25">
      <c r="B16" s="60">
        <v>2</v>
      </c>
      <c r="C16" s="506" t="s">
        <v>1293</v>
      </c>
      <c r="D16" s="507"/>
      <c r="E16" s="59">
        <v>1</v>
      </c>
      <c r="F16" s="59">
        <v>3</v>
      </c>
      <c r="G16" s="517"/>
      <c r="I16" s="539" t="s">
        <v>1297</v>
      </c>
      <c r="J16" s="540"/>
      <c r="K16" s="540"/>
      <c r="L16" s="541">
        <f>VLOOKUP(I16,tasks_metrics_observation_area,3,FALSE)</f>
        <v>9.3699999999999992</v>
      </c>
      <c r="M16" s="542">
        <f>VLOOKUP(I16,tasks_metrics_observation_area,4,FALSE)</f>
        <v>4.68</v>
      </c>
    </row>
    <row r="17" spans="2:13" x14ac:dyDescent="0.25">
      <c r="I17" s="539" t="s">
        <v>1309</v>
      </c>
      <c r="J17" s="540"/>
      <c r="K17" s="540"/>
      <c r="L17" s="541">
        <f>VLOOKUP(I17,tasks_metrics_observation_area,3,FALSE)</f>
        <v>1.81</v>
      </c>
      <c r="M17" s="542">
        <f>VLOOKUP(I17,tasks_metrics_observation_area,4,FALSE)</f>
        <v>3.62</v>
      </c>
    </row>
    <row r="18" spans="2:13" x14ac:dyDescent="0.25">
      <c r="B18" s="4"/>
      <c r="C18" s="508" t="s">
        <v>20</v>
      </c>
      <c r="D18" s="509"/>
      <c r="E18" s="494" t="s">
        <v>21</v>
      </c>
      <c r="F18" s="494" t="s">
        <v>22</v>
      </c>
      <c r="G18" s="71" t="s">
        <v>23</v>
      </c>
      <c r="I18" s="539" t="s">
        <v>1310</v>
      </c>
      <c r="J18" s="540"/>
      <c r="K18" s="540"/>
      <c r="L18" s="541">
        <f>VLOOKUP(I18,tasks_metrics_observation_area,3,FALSE)</f>
        <v>4.1500000000000004</v>
      </c>
      <c r="M18" s="542">
        <f>VLOOKUP(I18,tasks_metrics_observation_area,4,FALSE)</f>
        <v>2.0499999999999998</v>
      </c>
    </row>
    <row r="19" spans="2:13" ht="26.25" customHeight="1" x14ac:dyDescent="0.25">
      <c r="B19" s="63" t="s">
        <v>19</v>
      </c>
      <c r="C19" s="510" t="s">
        <v>1305</v>
      </c>
      <c r="D19" s="511"/>
      <c r="E19" s="72">
        <f>SUM(E20:E21)</f>
        <v>1.69</v>
      </c>
      <c r="F19" s="72">
        <f>SUM(F20:F21)</f>
        <v>3.38</v>
      </c>
      <c r="G19" s="516"/>
      <c r="I19" s="539" t="s">
        <v>1311</v>
      </c>
      <c r="J19" s="540"/>
      <c r="K19" s="540"/>
      <c r="L19" s="541">
        <f>VLOOKUP(I19,tasks_metrics_observation_area,3,FALSE)</f>
        <v>1.93</v>
      </c>
      <c r="M19" s="542">
        <f>VLOOKUP(I19,tasks_metrics_observation_area,4,FALSE)</f>
        <v>3.87</v>
      </c>
    </row>
    <row r="20" spans="2:13" outlineLevel="1" x14ac:dyDescent="0.25">
      <c r="B20" s="57">
        <v>1</v>
      </c>
      <c r="C20" s="504" t="s">
        <v>1290</v>
      </c>
      <c r="D20" s="505"/>
      <c r="E20" s="58">
        <v>0.69</v>
      </c>
      <c r="F20" s="58">
        <v>0.38</v>
      </c>
      <c r="G20" s="516"/>
      <c r="I20" s="539" t="s">
        <v>1312</v>
      </c>
      <c r="J20" s="540"/>
      <c r="K20" s="540"/>
      <c r="L20" s="541">
        <f>VLOOKUP(I20,tasks_metrics_observation_area,3,FALSE)</f>
        <v>1.5</v>
      </c>
      <c r="M20" s="542">
        <f>VLOOKUP(I20,tasks_metrics_observation_area,4,FALSE)</f>
        <v>3</v>
      </c>
    </row>
    <row r="21" spans="2:13" outlineLevel="1" x14ac:dyDescent="0.25">
      <c r="B21" s="60">
        <v>2</v>
      </c>
      <c r="C21" s="506" t="s">
        <v>1294</v>
      </c>
      <c r="D21" s="507"/>
      <c r="E21" s="59">
        <v>1</v>
      </c>
      <c r="F21" s="59">
        <v>3</v>
      </c>
      <c r="G21" s="517"/>
      <c r="I21" s="539" t="s">
        <v>1313</v>
      </c>
      <c r="J21" s="540"/>
      <c r="K21" s="540"/>
      <c r="L21" s="541">
        <f>VLOOKUP(I21,tasks_metrics_observation_area,3,FALSE)</f>
        <v>1.43</v>
      </c>
      <c r="M21" s="542">
        <f>VLOOKUP(I21,tasks_metrics_observation_area,4,FALSE)</f>
        <v>2.87</v>
      </c>
    </row>
    <row r="22" spans="2:13" x14ac:dyDescent="0.25">
      <c r="I22" s="539" t="s">
        <v>1314</v>
      </c>
      <c r="J22" s="540"/>
      <c r="K22" s="540"/>
      <c r="L22" s="541">
        <f>VLOOKUP(I22,tasks_metrics_observation_area,3,FALSE)</f>
        <v>1.75</v>
      </c>
      <c r="M22" s="542">
        <f>VLOOKUP(I22,tasks_metrics_observation_area,4,FALSE)</f>
        <v>4.25</v>
      </c>
    </row>
    <row r="23" spans="2:13" x14ac:dyDescent="0.25">
      <c r="B23" s="4"/>
      <c r="C23" s="508" t="s">
        <v>20</v>
      </c>
      <c r="D23" s="509"/>
      <c r="E23" s="494" t="s">
        <v>21</v>
      </c>
      <c r="F23" s="494" t="s">
        <v>22</v>
      </c>
      <c r="G23" s="71" t="s">
        <v>23</v>
      </c>
      <c r="I23" s="539" t="s">
        <v>1317</v>
      </c>
      <c r="J23" s="540"/>
      <c r="K23" s="540"/>
      <c r="L23" s="541">
        <f>VLOOKUP(I23,tasks_metrics_observation_area,3,FALSE)</f>
        <v>0.5</v>
      </c>
      <c r="M23" s="542">
        <f>VLOOKUP(I23,tasks_metrics_observation_area,4,FALSE)</f>
        <v>1</v>
      </c>
    </row>
    <row r="24" spans="2:13" x14ac:dyDescent="0.25">
      <c r="B24" s="63" t="s">
        <v>19</v>
      </c>
      <c r="C24" s="510" t="s">
        <v>1299</v>
      </c>
      <c r="D24" s="511"/>
      <c r="E24" s="72">
        <f>SUM(E25:E26)</f>
        <v>1.5</v>
      </c>
      <c r="F24" s="72">
        <f>SUM(F25:F26)</f>
        <v>3.25</v>
      </c>
      <c r="G24" s="516"/>
      <c r="I24" s="539" t="s">
        <v>1320</v>
      </c>
      <c r="J24" s="540"/>
      <c r="K24" s="540"/>
      <c r="L24" s="541">
        <f>VLOOKUP(I24,tasks_metrics_observation_area,3,FALSE)</f>
        <v>1</v>
      </c>
      <c r="M24" s="542">
        <f>VLOOKUP(I24,tasks_metrics_observation_area,4,FALSE)</f>
        <v>2</v>
      </c>
    </row>
    <row r="25" spans="2:13" outlineLevel="1" x14ac:dyDescent="0.25">
      <c r="B25" s="57">
        <v>1</v>
      </c>
      <c r="C25" s="504" t="s">
        <v>1290</v>
      </c>
      <c r="D25" s="505"/>
      <c r="E25" s="58">
        <v>0.25</v>
      </c>
      <c r="F25" s="58">
        <v>0.5</v>
      </c>
      <c r="G25" s="516"/>
      <c r="I25" s="535" t="s">
        <v>1322</v>
      </c>
      <c r="J25" s="536"/>
      <c r="K25" s="536"/>
      <c r="L25" s="537">
        <f>VLOOKUP(I25,tasks_metrics_observation_area,3,FALSE)</f>
        <v>0.5</v>
      </c>
      <c r="M25" s="538">
        <f>VLOOKUP(I25,tasks_metrics_observation_area,4,FALSE)</f>
        <v>1</v>
      </c>
    </row>
    <row r="26" spans="2:13" outlineLevel="1" x14ac:dyDescent="0.25">
      <c r="B26" s="60">
        <v>2</v>
      </c>
      <c r="C26" s="506" t="s">
        <v>1296</v>
      </c>
      <c r="D26" s="507"/>
      <c r="E26" s="59">
        <v>1.25</v>
      </c>
      <c r="F26" s="59">
        <v>2.75</v>
      </c>
      <c r="G26" s="517"/>
    </row>
    <row r="28" spans="2:13" x14ac:dyDescent="0.25">
      <c r="B28" s="4"/>
      <c r="C28" s="508" t="s">
        <v>20</v>
      </c>
      <c r="D28" s="509"/>
      <c r="E28" s="494" t="s">
        <v>21</v>
      </c>
      <c r="F28" s="494" t="s">
        <v>22</v>
      </c>
      <c r="G28" s="71" t="s">
        <v>23</v>
      </c>
    </row>
    <row r="29" spans="2:13" x14ac:dyDescent="0.25">
      <c r="B29" s="63" t="s">
        <v>19</v>
      </c>
      <c r="C29" s="510" t="s">
        <v>1300</v>
      </c>
      <c r="D29" s="511"/>
      <c r="E29" s="72">
        <f>SUM(E30:E31)</f>
        <v>1.05</v>
      </c>
      <c r="F29" s="72">
        <f>SUM(F30:F31)</f>
        <v>2.5</v>
      </c>
      <c r="G29" s="516"/>
    </row>
    <row r="30" spans="2:13" outlineLevel="1" x14ac:dyDescent="0.25">
      <c r="B30" s="57">
        <v>1</v>
      </c>
      <c r="C30" s="504" t="s">
        <v>1290</v>
      </c>
      <c r="D30" s="505"/>
      <c r="E30" s="58">
        <v>0.25</v>
      </c>
      <c r="F30" s="58">
        <v>0.5</v>
      </c>
      <c r="G30" s="516"/>
    </row>
    <row r="31" spans="2:13" outlineLevel="1" x14ac:dyDescent="0.25">
      <c r="B31" s="60">
        <v>2</v>
      </c>
      <c r="C31" s="506" t="s">
        <v>1298</v>
      </c>
      <c r="D31" s="507"/>
      <c r="E31" s="59">
        <v>0.8</v>
      </c>
      <c r="F31" s="59">
        <v>2</v>
      </c>
      <c r="G31" s="517"/>
    </row>
    <row r="33" spans="2:7" x14ac:dyDescent="0.25">
      <c r="B33" s="4"/>
      <c r="C33" s="508" t="s">
        <v>20</v>
      </c>
      <c r="D33" s="509"/>
      <c r="E33" s="494" t="s">
        <v>21</v>
      </c>
      <c r="F33" s="494" t="s">
        <v>22</v>
      </c>
      <c r="G33" s="71" t="s">
        <v>23</v>
      </c>
    </row>
    <row r="34" spans="2:7" x14ac:dyDescent="0.25">
      <c r="B34" s="63" t="s">
        <v>19</v>
      </c>
      <c r="C34" s="510" t="s">
        <v>1306</v>
      </c>
      <c r="D34" s="511"/>
      <c r="E34" s="72">
        <f>SUM(E35:E36)</f>
        <v>1.5</v>
      </c>
      <c r="F34" s="72">
        <f>SUM(F35:F36)</f>
        <v>3.15</v>
      </c>
      <c r="G34" s="516"/>
    </row>
    <row r="35" spans="2:7" outlineLevel="1" x14ac:dyDescent="0.25">
      <c r="B35" s="57">
        <v>1</v>
      </c>
      <c r="C35" s="504" t="s">
        <v>1290</v>
      </c>
      <c r="D35" s="505"/>
      <c r="E35" s="58">
        <v>0.25</v>
      </c>
      <c r="F35" s="58">
        <v>0.5</v>
      </c>
      <c r="G35" s="516"/>
    </row>
    <row r="36" spans="2:7" outlineLevel="1" x14ac:dyDescent="0.25">
      <c r="B36" s="60">
        <v>2</v>
      </c>
      <c r="C36" s="506" t="s">
        <v>1296</v>
      </c>
      <c r="D36" s="507"/>
      <c r="E36" s="59">
        <v>1.25</v>
      </c>
      <c r="F36" s="59">
        <v>2.65</v>
      </c>
      <c r="G36" s="517"/>
    </row>
    <row r="38" spans="2:7" x14ac:dyDescent="0.25">
      <c r="B38" s="4"/>
      <c r="C38" s="508" t="s">
        <v>20</v>
      </c>
      <c r="D38" s="509"/>
      <c r="E38" s="494" t="s">
        <v>21</v>
      </c>
      <c r="F38" s="494" t="s">
        <v>22</v>
      </c>
      <c r="G38" s="71" t="s">
        <v>23</v>
      </c>
    </row>
    <row r="39" spans="2:7" x14ac:dyDescent="0.25">
      <c r="B39" s="63" t="s">
        <v>19</v>
      </c>
      <c r="C39" s="510" t="s">
        <v>1307</v>
      </c>
      <c r="D39" s="511"/>
      <c r="E39" s="72">
        <f>SUM(E40:E41)</f>
        <v>1.05</v>
      </c>
      <c r="F39" s="72">
        <f>SUM(F40:F41)</f>
        <v>2.25</v>
      </c>
      <c r="G39" s="516"/>
    </row>
    <row r="40" spans="2:7" outlineLevel="1" x14ac:dyDescent="0.25">
      <c r="B40" s="57">
        <v>1</v>
      </c>
      <c r="C40" s="504" t="s">
        <v>1290</v>
      </c>
      <c r="D40" s="505"/>
      <c r="E40" s="58">
        <v>0.25</v>
      </c>
      <c r="F40" s="58">
        <v>0.5</v>
      </c>
      <c r="G40" s="516"/>
    </row>
    <row r="41" spans="2:7" outlineLevel="1" x14ac:dyDescent="0.25">
      <c r="B41" s="60">
        <v>2</v>
      </c>
      <c r="C41" s="506" t="s">
        <v>1296</v>
      </c>
      <c r="D41" s="507"/>
      <c r="E41" s="59">
        <v>0.8</v>
      </c>
      <c r="F41" s="59">
        <v>1.75</v>
      </c>
      <c r="G41" s="517"/>
    </row>
    <row r="43" spans="2:7" x14ac:dyDescent="0.25">
      <c r="B43" s="4"/>
      <c r="C43" s="508" t="s">
        <v>20</v>
      </c>
      <c r="D43" s="509"/>
      <c r="E43" s="494" t="s">
        <v>21</v>
      </c>
      <c r="F43" s="494" t="s">
        <v>22</v>
      </c>
      <c r="G43" s="71" t="s">
        <v>23</v>
      </c>
    </row>
    <row r="44" spans="2:7" ht="24.75" customHeight="1" x14ac:dyDescent="0.25">
      <c r="B44" s="63" t="s">
        <v>19</v>
      </c>
      <c r="C44" s="510" t="s">
        <v>1301</v>
      </c>
      <c r="D44" s="511"/>
      <c r="E44" s="72">
        <f>SUM(E45:E46)</f>
        <v>6.37</v>
      </c>
      <c r="F44" s="72">
        <f>SUM(F45:F46)</f>
        <v>12.75</v>
      </c>
      <c r="G44" s="516"/>
    </row>
    <row r="45" spans="2:7" outlineLevel="1" x14ac:dyDescent="0.25">
      <c r="B45" s="57">
        <v>1</v>
      </c>
      <c r="C45" s="504" t="s">
        <v>1290</v>
      </c>
      <c r="D45" s="505"/>
      <c r="E45" s="58">
        <v>0.37</v>
      </c>
      <c r="F45" s="58">
        <v>0.75</v>
      </c>
      <c r="G45" s="516"/>
    </row>
    <row r="46" spans="2:7" outlineLevel="1" x14ac:dyDescent="0.25">
      <c r="B46" s="60">
        <v>2</v>
      </c>
      <c r="C46" s="506" t="s">
        <v>1296</v>
      </c>
      <c r="D46" s="507"/>
      <c r="E46" s="59">
        <v>6</v>
      </c>
      <c r="F46" s="59">
        <v>12</v>
      </c>
      <c r="G46" s="517"/>
    </row>
    <row r="48" spans="2:7" x14ac:dyDescent="0.25">
      <c r="B48" s="4"/>
      <c r="C48" s="508" t="s">
        <v>20</v>
      </c>
      <c r="D48" s="509"/>
      <c r="E48" s="494" t="s">
        <v>21</v>
      </c>
      <c r="F48" s="494" t="s">
        <v>22</v>
      </c>
      <c r="G48" s="71" t="s">
        <v>23</v>
      </c>
    </row>
    <row r="49" spans="2:7" ht="24.75" customHeight="1" x14ac:dyDescent="0.25">
      <c r="B49" s="63" t="s">
        <v>19</v>
      </c>
      <c r="C49" s="510" t="s">
        <v>1308</v>
      </c>
      <c r="D49" s="511"/>
      <c r="E49" s="72">
        <f>SUM(E50:E51)</f>
        <v>5.65</v>
      </c>
      <c r="F49" s="72">
        <f>SUM(F50:F51)</f>
        <v>11.25</v>
      </c>
      <c r="G49" s="516"/>
    </row>
    <row r="50" spans="2:7" outlineLevel="1" x14ac:dyDescent="0.25">
      <c r="B50" s="57">
        <v>1</v>
      </c>
      <c r="C50" s="504" t="s">
        <v>1290</v>
      </c>
      <c r="D50" s="505"/>
      <c r="E50" s="58">
        <v>0.65</v>
      </c>
      <c r="F50" s="58">
        <v>1</v>
      </c>
      <c r="G50" s="516"/>
    </row>
    <row r="51" spans="2:7" outlineLevel="1" x14ac:dyDescent="0.25">
      <c r="B51" s="60">
        <v>2</v>
      </c>
      <c r="C51" s="506" t="s">
        <v>1296</v>
      </c>
      <c r="D51" s="507"/>
      <c r="E51" s="59">
        <v>5</v>
      </c>
      <c r="F51" s="59">
        <v>10.25</v>
      </c>
      <c r="G51" s="517"/>
    </row>
    <row r="53" spans="2:7" ht="15" customHeight="1" x14ac:dyDescent="0.25">
      <c r="B53" s="4"/>
      <c r="C53" s="508" t="s">
        <v>20</v>
      </c>
      <c r="D53" s="509"/>
      <c r="E53" s="494" t="s">
        <v>21</v>
      </c>
      <c r="F53" s="494" t="s">
        <v>22</v>
      </c>
      <c r="G53" s="71" t="s">
        <v>23</v>
      </c>
    </row>
    <row r="54" spans="2:7" ht="24.75" customHeight="1" x14ac:dyDescent="0.25">
      <c r="B54" s="63" t="s">
        <v>19</v>
      </c>
      <c r="C54" s="510" t="s">
        <v>1295</v>
      </c>
      <c r="D54" s="511"/>
      <c r="E54" s="72">
        <f>SUM(E55:E56)</f>
        <v>10.62</v>
      </c>
      <c r="F54" s="72">
        <f>SUM(F55:F56)</f>
        <v>5.31</v>
      </c>
      <c r="G54" s="516"/>
    </row>
    <row r="55" spans="2:7" outlineLevel="1" x14ac:dyDescent="0.25">
      <c r="B55" s="57">
        <v>1</v>
      </c>
      <c r="C55" s="504" t="s">
        <v>1290</v>
      </c>
      <c r="D55" s="505"/>
      <c r="E55" s="58">
        <v>0.62</v>
      </c>
      <c r="F55" s="58">
        <v>0.31</v>
      </c>
      <c r="G55" s="516"/>
    </row>
    <row r="56" spans="2:7" outlineLevel="1" x14ac:dyDescent="0.25">
      <c r="B56" s="60">
        <v>2</v>
      </c>
      <c r="C56" s="506" t="s">
        <v>1296</v>
      </c>
      <c r="D56" s="507"/>
      <c r="E56" s="59">
        <v>10</v>
      </c>
      <c r="F56" s="59">
        <v>5</v>
      </c>
      <c r="G56" s="517"/>
    </row>
    <row r="58" spans="2:7" x14ac:dyDescent="0.25">
      <c r="B58" s="4"/>
      <c r="C58" s="508" t="s">
        <v>20</v>
      </c>
      <c r="D58" s="509"/>
      <c r="E58" s="494" t="s">
        <v>21</v>
      </c>
      <c r="F58" s="494" t="s">
        <v>22</v>
      </c>
      <c r="G58" s="71" t="s">
        <v>23</v>
      </c>
    </row>
    <row r="59" spans="2:7" ht="39" customHeight="1" x14ac:dyDescent="0.25">
      <c r="B59" s="63" t="s">
        <v>19</v>
      </c>
      <c r="C59" s="510" t="s">
        <v>1297</v>
      </c>
      <c r="D59" s="511"/>
      <c r="E59" s="72">
        <f>SUM(E60:E61)</f>
        <v>9.3699999999999992</v>
      </c>
      <c r="F59" s="72">
        <f>SUM(F60:F61)</f>
        <v>4.68</v>
      </c>
      <c r="G59" s="516"/>
    </row>
    <row r="60" spans="2:7" outlineLevel="1" x14ac:dyDescent="0.25">
      <c r="B60" s="57">
        <v>1</v>
      </c>
      <c r="C60" s="504" t="s">
        <v>1290</v>
      </c>
      <c r="D60" s="505"/>
      <c r="E60" s="58">
        <v>0.37</v>
      </c>
      <c r="F60" s="58">
        <v>0.68</v>
      </c>
      <c r="G60" s="516"/>
    </row>
    <row r="61" spans="2:7" outlineLevel="1" x14ac:dyDescent="0.25">
      <c r="B61" s="60">
        <v>2</v>
      </c>
      <c r="C61" s="506" t="s">
        <v>1298</v>
      </c>
      <c r="D61" s="507"/>
      <c r="E61" s="59">
        <v>9</v>
      </c>
      <c r="F61" s="59">
        <v>4</v>
      </c>
      <c r="G61" s="517"/>
    </row>
    <row r="63" spans="2:7" x14ac:dyDescent="0.25">
      <c r="B63" s="4"/>
      <c r="C63" s="508" t="s">
        <v>20</v>
      </c>
      <c r="D63" s="509"/>
      <c r="E63" s="494" t="s">
        <v>21</v>
      </c>
      <c r="F63" s="494" t="s">
        <v>22</v>
      </c>
      <c r="G63" s="71" t="s">
        <v>23</v>
      </c>
    </row>
    <row r="64" spans="2:7" ht="25.5" customHeight="1" x14ac:dyDescent="0.25">
      <c r="B64" s="63" t="s">
        <v>19</v>
      </c>
      <c r="C64" s="510" t="s">
        <v>1309</v>
      </c>
      <c r="D64" s="511"/>
      <c r="E64" s="72">
        <f>SUM(E65:E66)</f>
        <v>1.81</v>
      </c>
      <c r="F64" s="72">
        <f>SUM(F65:F66)</f>
        <v>3.62</v>
      </c>
      <c r="G64" s="516"/>
    </row>
    <row r="65" spans="2:7" outlineLevel="1" x14ac:dyDescent="0.25">
      <c r="B65" s="57">
        <v>1</v>
      </c>
      <c r="C65" s="504" t="s">
        <v>1290</v>
      </c>
      <c r="D65" s="505"/>
      <c r="E65" s="58">
        <v>0.81</v>
      </c>
      <c r="F65" s="58">
        <v>0.62</v>
      </c>
      <c r="G65" s="516"/>
    </row>
    <row r="66" spans="2:7" outlineLevel="1" x14ac:dyDescent="0.25">
      <c r="B66" s="60">
        <v>2</v>
      </c>
      <c r="C66" s="506" t="s">
        <v>1296</v>
      </c>
      <c r="D66" s="507"/>
      <c r="E66" s="59">
        <v>1</v>
      </c>
      <c r="F66" s="59">
        <v>3</v>
      </c>
      <c r="G66" s="517"/>
    </row>
    <row r="68" spans="2:7" x14ac:dyDescent="0.25">
      <c r="B68" s="4"/>
      <c r="C68" s="508" t="s">
        <v>20</v>
      </c>
      <c r="D68" s="509"/>
      <c r="E68" s="494" t="s">
        <v>21</v>
      </c>
      <c r="F68" s="494" t="s">
        <v>22</v>
      </c>
      <c r="G68" s="71" t="s">
        <v>23</v>
      </c>
    </row>
    <row r="69" spans="2:7" ht="25.5" customHeight="1" x14ac:dyDescent="0.25">
      <c r="B69" s="63" t="s">
        <v>19</v>
      </c>
      <c r="C69" s="510" t="s">
        <v>1310</v>
      </c>
      <c r="D69" s="511"/>
      <c r="E69" s="72">
        <f>SUM(E70:E71)</f>
        <v>4.1500000000000004</v>
      </c>
      <c r="F69" s="72">
        <f>SUM(F70:F71)</f>
        <v>2.0499999999999998</v>
      </c>
      <c r="G69" s="516"/>
    </row>
    <row r="70" spans="2:7" outlineLevel="1" x14ac:dyDescent="0.25">
      <c r="B70" s="57">
        <v>1</v>
      </c>
      <c r="C70" s="504" t="s">
        <v>1290</v>
      </c>
      <c r="D70" s="505"/>
      <c r="E70" s="58">
        <v>0.25</v>
      </c>
      <c r="F70" s="58">
        <v>0.25</v>
      </c>
      <c r="G70" s="516"/>
    </row>
    <row r="71" spans="2:7" outlineLevel="1" x14ac:dyDescent="0.25">
      <c r="B71" s="60">
        <v>2</v>
      </c>
      <c r="C71" s="506" t="s">
        <v>1296</v>
      </c>
      <c r="D71" s="507"/>
      <c r="E71" s="59">
        <v>3.9</v>
      </c>
      <c r="F71" s="59">
        <v>1.8</v>
      </c>
      <c r="G71" s="517"/>
    </row>
    <row r="73" spans="2:7" x14ac:dyDescent="0.25">
      <c r="B73" s="4"/>
      <c r="C73" s="508" t="s">
        <v>20</v>
      </c>
      <c r="D73" s="509"/>
      <c r="E73" s="494" t="s">
        <v>21</v>
      </c>
      <c r="F73" s="494" t="s">
        <v>22</v>
      </c>
      <c r="G73" s="71" t="s">
        <v>23</v>
      </c>
    </row>
    <row r="74" spans="2:7" ht="25.5" customHeight="1" x14ac:dyDescent="0.25">
      <c r="B74" s="63" t="s">
        <v>19</v>
      </c>
      <c r="C74" s="510" t="s">
        <v>1311</v>
      </c>
      <c r="D74" s="511"/>
      <c r="E74" s="72">
        <f>SUM(E75:E76)</f>
        <v>1.93</v>
      </c>
      <c r="F74" s="72">
        <f>SUM(F75:F76)</f>
        <v>3.87</v>
      </c>
      <c r="G74" s="516"/>
    </row>
    <row r="75" spans="2:7" outlineLevel="1" x14ac:dyDescent="0.25">
      <c r="B75" s="57">
        <v>1</v>
      </c>
      <c r="C75" s="504" t="s">
        <v>1290</v>
      </c>
      <c r="D75" s="505"/>
      <c r="E75" s="58">
        <v>0.5</v>
      </c>
      <c r="F75" s="58">
        <v>0.87</v>
      </c>
      <c r="G75" s="516"/>
    </row>
    <row r="76" spans="2:7" outlineLevel="1" x14ac:dyDescent="0.25">
      <c r="B76" s="60">
        <v>2</v>
      </c>
      <c r="C76" s="506" t="s">
        <v>1296</v>
      </c>
      <c r="D76" s="507"/>
      <c r="E76" s="59">
        <v>1.43</v>
      </c>
      <c r="F76" s="59">
        <v>3</v>
      </c>
      <c r="G76" s="517"/>
    </row>
    <row r="78" spans="2:7" x14ac:dyDescent="0.25">
      <c r="B78" s="4"/>
      <c r="C78" s="508" t="s">
        <v>20</v>
      </c>
      <c r="D78" s="509"/>
      <c r="E78" s="494" t="s">
        <v>21</v>
      </c>
      <c r="F78" s="494" t="s">
        <v>22</v>
      </c>
      <c r="G78" s="71" t="s">
        <v>23</v>
      </c>
    </row>
    <row r="79" spans="2:7" ht="25.5" customHeight="1" x14ac:dyDescent="0.25">
      <c r="B79" s="63" t="s">
        <v>19</v>
      </c>
      <c r="C79" s="510" t="s">
        <v>1312</v>
      </c>
      <c r="D79" s="511"/>
      <c r="E79" s="72">
        <f>SUM(E80:E81)</f>
        <v>1.5</v>
      </c>
      <c r="F79" s="72">
        <f>SUM(F80:F81)</f>
        <v>3</v>
      </c>
      <c r="G79" s="516"/>
    </row>
    <row r="80" spans="2:7" outlineLevel="1" x14ac:dyDescent="0.25">
      <c r="B80" s="57">
        <v>1</v>
      </c>
      <c r="C80" s="504" t="s">
        <v>1290</v>
      </c>
      <c r="D80" s="505"/>
      <c r="E80" s="58">
        <v>0.25</v>
      </c>
      <c r="F80" s="58">
        <v>0.5</v>
      </c>
      <c r="G80" s="516"/>
    </row>
    <row r="81" spans="2:7" outlineLevel="1" x14ac:dyDescent="0.25">
      <c r="B81" s="60">
        <v>2</v>
      </c>
      <c r="C81" s="506" t="s">
        <v>1296</v>
      </c>
      <c r="D81" s="507"/>
      <c r="E81" s="59">
        <v>1.25</v>
      </c>
      <c r="F81" s="59">
        <v>2.5</v>
      </c>
      <c r="G81" s="517"/>
    </row>
    <row r="83" spans="2:7" x14ac:dyDescent="0.25">
      <c r="B83" s="4"/>
      <c r="C83" s="508" t="s">
        <v>20</v>
      </c>
      <c r="D83" s="509"/>
      <c r="E83" s="494" t="s">
        <v>21</v>
      </c>
      <c r="F83" s="494" t="s">
        <v>22</v>
      </c>
      <c r="G83" s="71" t="s">
        <v>23</v>
      </c>
    </row>
    <row r="84" spans="2:7" ht="25.5" customHeight="1" x14ac:dyDescent="0.25">
      <c r="B84" s="63" t="s">
        <v>19</v>
      </c>
      <c r="C84" s="510" t="s">
        <v>1313</v>
      </c>
      <c r="D84" s="511"/>
      <c r="E84" s="72">
        <f>SUM(E85:E86)</f>
        <v>1.43</v>
      </c>
      <c r="F84" s="72">
        <f>SUM(F85:F86)</f>
        <v>2.87</v>
      </c>
      <c r="G84" s="516"/>
    </row>
    <row r="85" spans="2:7" outlineLevel="1" x14ac:dyDescent="0.25">
      <c r="B85" s="57">
        <v>1</v>
      </c>
      <c r="C85" s="504" t="s">
        <v>1290</v>
      </c>
      <c r="D85" s="505"/>
      <c r="E85" s="58">
        <v>0.43</v>
      </c>
      <c r="F85" s="58">
        <v>0.87</v>
      </c>
      <c r="G85" s="516"/>
    </row>
    <row r="86" spans="2:7" outlineLevel="1" x14ac:dyDescent="0.25">
      <c r="B86" s="60">
        <v>2</v>
      </c>
      <c r="C86" s="506" t="s">
        <v>1296</v>
      </c>
      <c r="D86" s="507"/>
      <c r="E86" s="59">
        <v>1</v>
      </c>
      <c r="F86" s="59">
        <v>2</v>
      </c>
      <c r="G86" s="517"/>
    </row>
    <row r="88" spans="2:7" x14ac:dyDescent="0.25">
      <c r="B88" s="4"/>
      <c r="C88" s="508" t="s">
        <v>20</v>
      </c>
      <c r="D88" s="509"/>
      <c r="E88" s="494" t="s">
        <v>21</v>
      </c>
      <c r="F88" s="494" t="s">
        <v>22</v>
      </c>
      <c r="G88" s="71" t="s">
        <v>23</v>
      </c>
    </row>
    <row r="89" spans="2:7" ht="15" customHeight="1" x14ac:dyDescent="0.25">
      <c r="B89" s="63" t="s">
        <v>19</v>
      </c>
      <c r="C89" s="510" t="s">
        <v>1314</v>
      </c>
      <c r="D89" s="511"/>
      <c r="E89" s="72">
        <f>SUM(E90:E91)</f>
        <v>1.75</v>
      </c>
      <c r="F89" s="72">
        <f>SUM(F90:F91)</f>
        <v>4.25</v>
      </c>
      <c r="G89" s="516"/>
    </row>
    <row r="90" spans="2:7" outlineLevel="1" x14ac:dyDescent="0.25">
      <c r="B90" s="57">
        <v>1</v>
      </c>
      <c r="C90" s="504" t="s">
        <v>1315</v>
      </c>
      <c r="D90" s="505"/>
      <c r="E90" s="58">
        <v>0.25</v>
      </c>
      <c r="F90" s="58">
        <v>0.75</v>
      </c>
      <c r="G90" s="516"/>
    </row>
    <row r="91" spans="2:7" outlineLevel="1" x14ac:dyDescent="0.25">
      <c r="B91" s="60">
        <v>2</v>
      </c>
      <c r="C91" s="506" t="s">
        <v>1316</v>
      </c>
      <c r="D91" s="507"/>
      <c r="E91" s="59">
        <v>1.5</v>
      </c>
      <c r="F91" s="59">
        <v>3.5</v>
      </c>
      <c r="G91" s="517"/>
    </row>
    <row r="93" spans="2:7" x14ac:dyDescent="0.25">
      <c r="B93" s="4"/>
      <c r="C93" s="508" t="s">
        <v>20</v>
      </c>
      <c r="D93" s="509"/>
      <c r="E93" s="494" t="s">
        <v>21</v>
      </c>
      <c r="F93" s="494" t="s">
        <v>22</v>
      </c>
      <c r="G93" s="71" t="s">
        <v>23</v>
      </c>
    </row>
    <row r="94" spans="2:7" ht="15" customHeight="1" x14ac:dyDescent="0.25">
      <c r="B94" s="63" t="s">
        <v>19</v>
      </c>
      <c r="C94" s="510" t="s">
        <v>1317</v>
      </c>
      <c r="D94" s="511"/>
      <c r="E94" s="72">
        <f>SUM(E95:E96)</f>
        <v>0.5</v>
      </c>
      <c r="F94" s="72">
        <f>SUM(F95:F96)</f>
        <v>1</v>
      </c>
      <c r="G94" s="516"/>
    </row>
    <row r="95" spans="2:7" outlineLevel="1" x14ac:dyDescent="0.25">
      <c r="B95" s="57">
        <v>1</v>
      </c>
      <c r="C95" s="504" t="s">
        <v>1318</v>
      </c>
      <c r="D95" s="505"/>
      <c r="E95" s="58">
        <v>0.25</v>
      </c>
      <c r="F95" s="58">
        <v>0.25</v>
      </c>
      <c r="G95" s="516"/>
    </row>
    <row r="96" spans="2:7" outlineLevel="1" x14ac:dyDescent="0.25">
      <c r="B96" s="60">
        <v>2</v>
      </c>
      <c r="C96" s="506" t="s">
        <v>1319</v>
      </c>
      <c r="D96" s="507"/>
      <c r="E96" s="59">
        <v>0.25</v>
      </c>
      <c r="F96" s="59">
        <v>0.75</v>
      </c>
      <c r="G96" s="517"/>
    </row>
    <row r="98" spans="2:7" x14ac:dyDescent="0.25">
      <c r="B98" s="4"/>
      <c r="C98" s="508" t="s">
        <v>20</v>
      </c>
      <c r="D98" s="509"/>
      <c r="E98" s="494" t="s">
        <v>21</v>
      </c>
      <c r="F98" s="494" t="s">
        <v>22</v>
      </c>
      <c r="G98" s="71" t="s">
        <v>23</v>
      </c>
    </row>
    <row r="99" spans="2:7" ht="15" customHeight="1" x14ac:dyDescent="0.25">
      <c r="B99" s="63" t="s">
        <v>19</v>
      </c>
      <c r="C99" s="510" t="s">
        <v>1320</v>
      </c>
      <c r="D99" s="511"/>
      <c r="E99" s="72">
        <f>SUM(E100:E101)</f>
        <v>1</v>
      </c>
      <c r="F99" s="72">
        <f>SUM(F100:F101)</f>
        <v>2</v>
      </c>
      <c r="G99" s="516"/>
    </row>
    <row r="100" spans="2:7" outlineLevel="1" x14ac:dyDescent="0.25">
      <c r="B100" s="57">
        <v>1</v>
      </c>
      <c r="C100" s="504" t="s">
        <v>1318</v>
      </c>
      <c r="D100" s="505"/>
      <c r="E100" s="58">
        <v>0.25</v>
      </c>
      <c r="F100" s="58">
        <v>0.4</v>
      </c>
      <c r="G100" s="516"/>
    </row>
    <row r="101" spans="2:7" outlineLevel="1" x14ac:dyDescent="0.25">
      <c r="B101" s="60">
        <v>2</v>
      </c>
      <c r="C101" s="506" t="s">
        <v>1321</v>
      </c>
      <c r="D101" s="507"/>
      <c r="E101" s="59">
        <v>0.75</v>
      </c>
      <c r="F101" s="59">
        <v>1.6</v>
      </c>
      <c r="G101" s="517"/>
    </row>
    <row r="103" spans="2:7" x14ac:dyDescent="0.25">
      <c r="B103" s="4"/>
      <c r="C103" s="508" t="s">
        <v>20</v>
      </c>
      <c r="D103" s="509"/>
      <c r="E103" s="494" t="s">
        <v>21</v>
      </c>
      <c r="F103" s="494" t="s">
        <v>22</v>
      </c>
      <c r="G103" s="71" t="s">
        <v>23</v>
      </c>
    </row>
    <row r="104" spans="2:7" ht="15" customHeight="1" x14ac:dyDescent="0.25">
      <c r="B104" s="63" t="s">
        <v>19</v>
      </c>
      <c r="C104" s="510" t="s">
        <v>1322</v>
      </c>
      <c r="D104" s="511"/>
      <c r="E104" s="72">
        <f>SUM(E105:E106)</f>
        <v>0.5</v>
      </c>
      <c r="F104" s="72">
        <f>SUM(F105:F106)</f>
        <v>1</v>
      </c>
      <c r="G104" s="516"/>
    </row>
    <row r="105" spans="2:7" outlineLevel="1" x14ac:dyDescent="0.25">
      <c r="B105" s="57">
        <v>1</v>
      </c>
      <c r="C105" s="504" t="s">
        <v>1318</v>
      </c>
      <c r="D105" s="505"/>
      <c r="E105" s="58">
        <v>0.25</v>
      </c>
      <c r="F105" s="58">
        <v>0.5</v>
      </c>
      <c r="G105" s="516"/>
    </row>
    <row r="106" spans="2:7" outlineLevel="1" x14ac:dyDescent="0.25">
      <c r="B106" s="60">
        <v>2</v>
      </c>
      <c r="C106" s="506" t="s">
        <v>1321</v>
      </c>
      <c r="D106" s="507"/>
      <c r="E106" s="59">
        <v>0.25</v>
      </c>
      <c r="F106" s="59">
        <v>0.5</v>
      </c>
      <c r="G106" s="517"/>
    </row>
  </sheetData>
  <dataConsolidate/>
  <mergeCells count="128">
    <mergeCell ref="C103:D103"/>
    <mergeCell ref="C104:D104"/>
    <mergeCell ref="G104:G106"/>
    <mergeCell ref="C105:D105"/>
    <mergeCell ref="C106:D106"/>
    <mergeCell ref="C98:D98"/>
    <mergeCell ref="C99:D99"/>
    <mergeCell ref="G99:G101"/>
    <mergeCell ref="C100:D100"/>
    <mergeCell ref="C101:D101"/>
    <mergeCell ref="C93:D93"/>
    <mergeCell ref="C94:D94"/>
    <mergeCell ref="G94:G96"/>
    <mergeCell ref="C95:D95"/>
    <mergeCell ref="C96:D96"/>
    <mergeCell ref="C88:D88"/>
    <mergeCell ref="C89:D89"/>
    <mergeCell ref="G89:G91"/>
    <mergeCell ref="C90:D90"/>
    <mergeCell ref="C91:D91"/>
    <mergeCell ref="C83:D83"/>
    <mergeCell ref="C84:D84"/>
    <mergeCell ref="G84:G86"/>
    <mergeCell ref="C85:D85"/>
    <mergeCell ref="C86:D86"/>
    <mergeCell ref="C78:D78"/>
    <mergeCell ref="C79:D79"/>
    <mergeCell ref="G79:G81"/>
    <mergeCell ref="C80:D80"/>
    <mergeCell ref="C81:D81"/>
    <mergeCell ref="C73:D73"/>
    <mergeCell ref="C74:D74"/>
    <mergeCell ref="G74:G76"/>
    <mergeCell ref="C75:D75"/>
    <mergeCell ref="C76:D76"/>
    <mergeCell ref="C68:D68"/>
    <mergeCell ref="C69:D69"/>
    <mergeCell ref="G69:G71"/>
    <mergeCell ref="C70:D70"/>
    <mergeCell ref="C71:D71"/>
    <mergeCell ref="C38:D38"/>
    <mergeCell ref="C39:D39"/>
    <mergeCell ref="G39:G41"/>
    <mergeCell ref="C40:D40"/>
    <mergeCell ref="C41:D41"/>
    <mergeCell ref="I17:K17"/>
    <mergeCell ref="C33:D33"/>
    <mergeCell ref="C34:D34"/>
    <mergeCell ref="G34:G36"/>
    <mergeCell ref="C35:D35"/>
    <mergeCell ref="C36:D36"/>
    <mergeCell ref="I18:K18"/>
    <mergeCell ref="I19:K19"/>
    <mergeCell ref="I20:K20"/>
    <mergeCell ref="I21:K21"/>
    <mergeCell ref="I22:K22"/>
    <mergeCell ref="I23:K23"/>
    <mergeCell ref="I24:K24"/>
    <mergeCell ref="I25:K25"/>
    <mergeCell ref="C28:D28"/>
    <mergeCell ref="C29:D29"/>
    <mergeCell ref="G29:G31"/>
    <mergeCell ref="C30:D30"/>
    <mergeCell ref="C31:D31"/>
    <mergeCell ref="C23:D23"/>
    <mergeCell ref="C24:D24"/>
    <mergeCell ref="G24:G26"/>
    <mergeCell ref="C25:D25"/>
    <mergeCell ref="C26:D26"/>
    <mergeCell ref="C63:D63"/>
    <mergeCell ref="C64:D64"/>
    <mergeCell ref="G64:G66"/>
    <mergeCell ref="C65:D65"/>
    <mergeCell ref="C66:D66"/>
    <mergeCell ref="C48:D48"/>
    <mergeCell ref="C49:D49"/>
    <mergeCell ref="G49:G51"/>
    <mergeCell ref="C50:D50"/>
    <mergeCell ref="C51:D51"/>
    <mergeCell ref="C43:D43"/>
    <mergeCell ref="C44:D44"/>
    <mergeCell ref="G44:G46"/>
    <mergeCell ref="C45:D45"/>
    <mergeCell ref="C46:D46"/>
    <mergeCell ref="C58:D58"/>
    <mergeCell ref="C59:D59"/>
    <mergeCell ref="G59:G61"/>
    <mergeCell ref="C60:D60"/>
    <mergeCell ref="C61:D61"/>
    <mergeCell ref="C53:D53"/>
    <mergeCell ref="C54:D54"/>
    <mergeCell ref="G54:G56"/>
    <mergeCell ref="C55:D55"/>
    <mergeCell ref="C56:D56"/>
    <mergeCell ref="G14:G16"/>
    <mergeCell ref="I7:K7"/>
    <mergeCell ref="C18:D18"/>
    <mergeCell ref="C19:D19"/>
    <mergeCell ref="G19:G21"/>
    <mergeCell ref="C20:D20"/>
    <mergeCell ref="C21:D21"/>
    <mergeCell ref="I8:K8"/>
    <mergeCell ref="I9:K9"/>
    <mergeCell ref="I10:K10"/>
    <mergeCell ref="I11:K11"/>
    <mergeCell ref="I12:K12"/>
    <mergeCell ref="I13:K13"/>
    <mergeCell ref="I14:K14"/>
    <mergeCell ref="I15:K15"/>
    <mergeCell ref="I16:K16"/>
    <mergeCell ref="G9:G11"/>
    <mergeCell ref="C10:D10"/>
    <mergeCell ref="C11:D11"/>
    <mergeCell ref="I6:K6"/>
    <mergeCell ref="C13:D13"/>
    <mergeCell ref="C3:D3"/>
    <mergeCell ref="C4:D4"/>
    <mergeCell ref="I3:K3"/>
    <mergeCell ref="I4:K4"/>
    <mergeCell ref="G4:G6"/>
    <mergeCell ref="C5:D5"/>
    <mergeCell ref="I5:K5"/>
    <mergeCell ref="C14:D14"/>
    <mergeCell ref="C15:D15"/>
    <mergeCell ref="C16:D16"/>
    <mergeCell ref="C6:D6"/>
    <mergeCell ref="C8:D8"/>
    <mergeCell ref="C9:D9"/>
  </mergeCells>
  <dataValidations count="1">
    <dataValidation type="decimal" allowBlank="1" showInputMessage="1" showErrorMessage="1" errorTitle="Incorrect Value for ABP/HP" error="The entered value does not meet the criteria for 'ABP' or 'HP' values._x000a__x000a_Only decimal values ​​between 0.25 and 100 in increments of 0.25 are supported." sqref="E4:F6 E9:F11 E14:F16 E19:F21 E54:F56 E59:F61 E64:F66 E24:F26 E29:F31 E34:F36 E39:F41 E44:F46 E49:F51 E69:F71 E74:F76 E79:F81 E84:F86 E89:F91 E94:F96 E99:F101 E104:F106">
      <formula1>0.25</formula1>
      <formula2>100</formula2>
    </dataValidation>
  </dataValidations>
  <pageMargins left="0.39370078740157499" right="0.39370078740157499" top="0.59055118110236204" bottom="0.59055118110236204" header="0.196850393700787" footer="0.196850393700787"/>
  <pageSetup scale="67" orientation="portrait"/>
  <headerFooter>
    <oddFooter>&amp;L&amp;"Calibri,Regular"&amp;9&amp;D&amp;C&amp;"Calibri,Regular"&amp;9&amp;GSapient Confidential
        &amp;6  Estimation Tool V5.0.0&amp;R&amp;"Calibri,Regular"&amp;9Page &amp;P</oddFoot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AddNewTasksMetricsBoxFromTemplate">
                <anchor moveWithCells="1" sizeWithCells="1">
                  <from>
                    <xdr:col>6</xdr:col>
                    <xdr:colOff>38100</xdr:colOff>
                    <xdr:row>0</xdr:row>
                    <xdr:rowOff>142875</xdr:rowOff>
                  </from>
                  <to>
                    <xdr:col>7</xdr:col>
                    <xdr:colOff>0</xdr:colOff>
                    <xdr:row>0</xdr:row>
                    <xdr:rowOff>381000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pageSetUpPr fitToPage="1"/>
  </sheetPr>
  <dimension ref="A1:AD51"/>
  <sheetViews>
    <sheetView showGridLines="0" tabSelected="1" zoomScale="90" zoomScaleNormal="90" zoomScalePageLayoutView="90" workbookViewId="0">
      <selection activeCell="C3" sqref="C3"/>
    </sheetView>
  </sheetViews>
  <sheetFormatPr defaultColWidth="8.875" defaultRowHeight="15.75" x14ac:dyDescent="0.25"/>
  <cols>
    <col min="1" max="2" width="1.875" customWidth="1"/>
    <col min="3" max="4" width="17.625" customWidth="1"/>
    <col min="5" max="5" width="11.5" customWidth="1"/>
    <col min="6" max="6" width="14.625" customWidth="1"/>
    <col min="7" max="7" width="65.375" customWidth="1"/>
    <col min="8" max="8" width="18.625" customWidth="1"/>
    <col min="9" max="9" width="18.125" bestFit="1" customWidth="1"/>
    <col min="10" max="11" width="7.5" customWidth="1"/>
    <col min="12" max="12" width="26.5" customWidth="1"/>
    <col min="13" max="13" width="5.5" customWidth="1"/>
    <col min="14" max="14" width="5" bestFit="1" customWidth="1"/>
    <col min="15" max="15" width="8" customWidth="1"/>
    <col min="16" max="16" width="5.875" bestFit="1" customWidth="1"/>
    <col min="17" max="17" width="5.5" customWidth="1"/>
    <col min="18" max="18" width="5.125" bestFit="1" customWidth="1"/>
    <col min="19" max="19" width="5.125" customWidth="1"/>
    <col min="20" max="20" width="8" customWidth="1"/>
    <col min="21" max="21" width="6.875" customWidth="1"/>
    <col min="22" max="22" width="27.125" customWidth="1"/>
    <col min="23" max="23" width="1.875" customWidth="1"/>
    <col min="24" max="25" width="9" customWidth="1"/>
  </cols>
  <sheetData>
    <row r="1" spans="1:30" ht="2.25" customHeight="1" x14ac:dyDescent="0.25">
      <c r="P1" s="108"/>
      <c r="Q1" s="109"/>
      <c r="R1" s="109"/>
      <c r="S1" s="109"/>
      <c r="T1" s="109"/>
      <c r="U1" s="110"/>
    </row>
    <row r="2" spans="1:30" ht="49.5" customHeight="1" x14ac:dyDescent="0.25">
      <c r="B2" s="352" t="s">
        <v>66</v>
      </c>
      <c r="C2" s="353"/>
      <c r="D2" s="349" t="str">
        <f>project_headline</f>
        <v>CAI Cycle 7 Stage I QA | Estimation</v>
      </c>
      <c r="E2" s="353"/>
      <c r="G2" s="12"/>
      <c r="O2" s="56"/>
      <c r="P2" s="111" t="s">
        <v>1187</v>
      </c>
      <c r="Q2" s="112"/>
      <c r="R2" s="112"/>
      <c r="S2" s="112"/>
      <c r="T2" s="112"/>
      <c r="U2" s="113"/>
    </row>
    <row r="3" spans="1:30" ht="15" customHeight="1" x14ac:dyDescent="0.25">
      <c r="B3" s="12"/>
      <c r="C3" s="12"/>
      <c r="D3" s="12"/>
      <c r="E3" s="12"/>
      <c r="F3" s="12"/>
      <c r="G3" s="12"/>
      <c r="P3" s="485" t="s">
        <v>21</v>
      </c>
      <c r="Q3" s="486"/>
      <c r="R3" s="487" t="s">
        <v>22</v>
      </c>
      <c r="S3" s="486"/>
      <c r="T3" s="487" t="s">
        <v>75</v>
      </c>
      <c r="U3" s="488"/>
    </row>
    <row r="4" spans="1:30" ht="16.5" customHeight="1" x14ac:dyDescent="0.25">
      <c r="B4" s="7"/>
      <c r="C4" s="12"/>
      <c r="D4" s="12"/>
      <c r="E4" s="12"/>
      <c r="F4" s="12"/>
      <c r="G4" s="12"/>
      <c r="P4" s="489">
        <f>SUM(Q:Q)</f>
        <v>58.556999999999995</v>
      </c>
      <c r="Q4" s="490"/>
      <c r="R4" s="491">
        <f>SUM(S:S)</f>
        <v>82.555000000000007</v>
      </c>
      <c r="S4" s="490"/>
      <c r="T4" s="492">
        <f>ROUND(SUM(U:U),0)</f>
        <v>71</v>
      </c>
      <c r="U4" s="493"/>
    </row>
    <row r="5" spans="1:30" ht="7.5" customHeight="1" x14ac:dyDescent="0.25"/>
    <row r="6" spans="1:30" ht="28.5" customHeight="1" x14ac:dyDescent="0.25">
      <c r="B6" s="114" t="s">
        <v>67</v>
      </c>
      <c r="C6" s="73" t="s">
        <v>29</v>
      </c>
      <c r="D6" s="369" t="s">
        <v>1193</v>
      </c>
      <c r="E6" s="369" t="s">
        <v>1190</v>
      </c>
      <c r="F6" s="73" t="s">
        <v>30</v>
      </c>
      <c r="G6" s="73" t="s">
        <v>68</v>
      </c>
      <c r="H6" s="73" t="s">
        <v>72</v>
      </c>
      <c r="I6" s="73" t="s">
        <v>69</v>
      </c>
      <c r="J6" s="73" t="s">
        <v>73</v>
      </c>
      <c r="K6" s="369" t="s">
        <v>543</v>
      </c>
      <c r="L6" s="73" t="s">
        <v>20</v>
      </c>
      <c r="M6" s="70" t="s">
        <v>21</v>
      </c>
      <c r="N6" s="73" t="s">
        <v>22</v>
      </c>
      <c r="O6" s="70" t="s">
        <v>74</v>
      </c>
      <c r="P6" s="115" t="s">
        <v>811</v>
      </c>
      <c r="Q6" s="70" t="s">
        <v>21</v>
      </c>
      <c r="R6" s="115" t="s">
        <v>812</v>
      </c>
      <c r="S6" s="70" t="s">
        <v>22</v>
      </c>
      <c r="T6" s="115" t="s">
        <v>813</v>
      </c>
      <c r="U6" s="73" t="s">
        <v>75</v>
      </c>
      <c r="V6" s="71" t="s">
        <v>35</v>
      </c>
    </row>
    <row r="7" spans="1:30" ht="25.5" x14ac:dyDescent="0.25">
      <c r="A7" s="6"/>
      <c r="B7" s="80"/>
      <c r="C7" s="99"/>
      <c r="D7" s="99"/>
      <c r="E7" s="99"/>
      <c r="F7" s="99" t="s">
        <v>1323</v>
      </c>
      <c r="G7" s="100" t="s">
        <v>1302</v>
      </c>
      <c r="H7" s="100"/>
      <c r="I7" s="99"/>
      <c r="J7" s="99" t="s">
        <v>70</v>
      </c>
      <c r="K7" s="99"/>
      <c r="L7" s="99" t="s">
        <v>1302</v>
      </c>
      <c r="M7" s="101">
        <f>IF(NOT(ISBLANK(L7)),VLOOKUP(L7, metrics_lookup_table, 4, FALSE))</f>
        <v>1.25</v>
      </c>
      <c r="N7" s="102">
        <f>IF(NOT(ISBLANK(L7)),VLOOKUP(L7, metrics_lookup_table, 5, FALSE))</f>
        <v>2.5</v>
      </c>
      <c r="O7" s="103">
        <v>1</v>
      </c>
      <c r="P7" s="95"/>
      <c r="Q7" s="98">
        <f t="shared" ref="Q7:Q40" si="0">IF(AND($J7="In",ISNUMBER($M7)),$O7*$M7,"")</f>
        <v>1.25</v>
      </c>
      <c r="R7" s="93"/>
      <c r="S7" s="94">
        <f t="shared" ref="S7:S40" si="1">IF(AND($J7="In",ISNUMBER($N7)),$O7*$N7,"")</f>
        <v>2.5</v>
      </c>
      <c r="T7" s="95"/>
      <c r="U7" s="96">
        <f t="shared" ref="U7:U40" si="2">IF(AND(ISNUMBER(Q7),ISNUMBER(S7)),ROUND((Q7+S7)/2, 1),"")</f>
        <v>1.9</v>
      </c>
      <c r="V7" s="97"/>
    </row>
    <row r="8" spans="1:30" ht="25.5" x14ac:dyDescent="0.25">
      <c r="A8" s="6"/>
      <c r="B8" s="80"/>
      <c r="C8" s="99"/>
      <c r="D8" s="99"/>
      <c r="E8" s="99"/>
      <c r="F8" s="99"/>
      <c r="G8" s="100" t="s">
        <v>1303</v>
      </c>
      <c r="H8" s="100"/>
      <c r="I8" s="99"/>
      <c r="J8" s="99" t="s">
        <v>70</v>
      </c>
      <c r="K8" s="99"/>
      <c r="L8" s="99" t="s">
        <v>1303</v>
      </c>
      <c r="M8" s="101">
        <f>IF(NOT(ISBLANK(L8)),VLOOKUP(L8, metrics_lookup_table, 4, FALSE))</f>
        <v>2.25</v>
      </c>
      <c r="N8" s="102">
        <f>IF(NOT(ISBLANK(L8)),VLOOKUP(L8, metrics_lookup_table, 5, FALSE))</f>
        <v>4.5</v>
      </c>
      <c r="O8" s="103">
        <v>1</v>
      </c>
      <c r="P8" s="95"/>
      <c r="Q8" s="98">
        <f t="shared" si="0"/>
        <v>2.25</v>
      </c>
      <c r="R8" s="93"/>
      <c r="S8" s="94">
        <f t="shared" si="1"/>
        <v>4.5</v>
      </c>
      <c r="T8" s="95"/>
      <c r="U8" s="96">
        <f t="shared" si="2"/>
        <v>3.4</v>
      </c>
      <c r="V8" s="97"/>
    </row>
    <row r="9" spans="1:30" x14ac:dyDescent="0.25">
      <c r="A9" s="6"/>
      <c r="B9" s="80"/>
      <c r="C9" s="99"/>
      <c r="D9" s="99"/>
      <c r="E9" s="99"/>
      <c r="F9" s="99"/>
      <c r="G9" s="100" t="s">
        <v>1304</v>
      </c>
      <c r="H9" s="100"/>
      <c r="I9" s="99"/>
      <c r="J9" s="99" t="s">
        <v>70</v>
      </c>
      <c r="K9" s="99"/>
      <c r="L9" s="99" t="s">
        <v>1304</v>
      </c>
      <c r="M9" s="101">
        <f>IF(NOT(ISBLANK(L9)),VLOOKUP(L9, metrics_lookup_table, 4, FALSE))</f>
        <v>1.6870000000000001</v>
      </c>
      <c r="N9" s="102">
        <f>IF(NOT(ISBLANK(L9)),VLOOKUP(L9, metrics_lookup_table, 5, FALSE))</f>
        <v>3.375</v>
      </c>
      <c r="O9" s="103">
        <v>1</v>
      </c>
      <c r="P9" s="95"/>
      <c r="Q9" s="98">
        <f t="shared" si="0"/>
        <v>1.6870000000000001</v>
      </c>
      <c r="R9" s="93"/>
      <c r="S9" s="94">
        <f t="shared" si="1"/>
        <v>3.375</v>
      </c>
      <c r="T9" s="95"/>
      <c r="U9" s="96">
        <f t="shared" si="2"/>
        <v>2.5</v>
      </c>
      <c r="V9" s="97"/>
    </row>
    <row r="10" spans="1:30" ht="21.75" customHeight="1" x14ac:dyDescent="0.25">
      <c r="A10" s="6"/>
      <c r="B10" s="80"/>
      <c r="C10" s="99"/>
      <c r="D10" s="99"/>
      <c r="E10" s="99"/>
      <c r="F10" s="99"/>
      <c r="G10" s="100" t="s">
        <v>1305</v>
      </c>
      <c r="H10" s="100"/>
      <c r="I10" s="99"/>
      <c r="J10" s="99" t="s">
        <v>70</v>
      </c>
      <c r="K10" s="99"/>
      <c r="L10" s="99" t="s">
        <v>1305</v>
      </c>
      <c r="M10" s="101">
        <f>IF(NOT(ISBLANK(L10)),VLOOKUP(L10, metrics_lookup_table, 4, FALSE))</f>
        <v>1.69</v>
      </c>
      <c r="N10" s="102">
        <f>IF(NOT(ISBLANK(L10)),VLOOKUP(L10, metrics_lookup_table, 5, FALSE))</f>
        <v>3.38</v>
      </c>
      <c r="O10" s="103">
        <v>1</v>
      </c>
      <c r="P10" s="95"/>
      <c r="Q10" s="98">
        <f t="shared" si="0"/>
        <v>1.69</v>
      </c>
      <c r="R10" s="93"/>
      <c r="S10" s="94">
        <f t="shared" si="1"/>
        <v>3.38</v>
      </c>
      <c r="T10" s="95"/>
      <c r="U10" s="96">
        <f t="shared" si="2"/>
        <v>2.5</v>
      </c>
      <c r="V10" s="97"/>
    </row>
    <row r="11" spans="1:30" x14ac:dyDescent="0.25">
      <c r="A11" s="6"/>
      <c r="B11" s="80"/>
      <c r="C11" s="99"/>
      <c r="D11" s="99"/>
      <c r="E11" s="99"/>
      <c r="F11" s="99"/>
      <c r="G11" s="100" t="s">
        <v>1299</v>
      </c>
      <c r="H11" s="100"/>
      <c r="I11" s="99"/>
      <c r="J11" s="99" t="s">
        <v>70</v>
      </c>
      <c r="K11" s="99"/>
      <c r="L11" s="99" t="s">
        <v>1299</v>
      </c>
      <c r="M11" s="101">
        <f>IF(NOT(ISBLANK(L11)),VLOOKUP(L11, metrics_lookup_table, 4, FALSE))</f>
        <v>1.5</v>
      </c>
      <c r="N11" s="102">
        <f>IF(NOT(ISBLANK(L11)),VLOOKUP(L11, metrics_lookup_table, 5, FALSE))</f>
        <v>3.25</v>
      </c>
      <c r="O11" s="103">
        <v>1</v>
      </c>
      <c r="P11" s="95"/>
      <c r="Q11" s="98">
        <f t="shared" si="0"/>
        <v>1.5</v>
      </c>
      <c r="R11" s="93"/>
      <c r="S11" s="94">
        <f t="shared" si="1"/>
        <v>3.25</v>
      </c>
      <c r="T11" s="95"/>
      <c r="U11" s="96">
        <f t="shared" si="2"/>
        <v>2.4</v>
      </c>
      <c r="V11" s="97"/>
    </row>
    <row r="12" spans="1:30" x14ac:dyDescent="0.25">
      <c r="A12" s="6"/>
      <c r="B12" s="80"/>
      <c r="C12" s="99"/>
      <c r="D12" s="99"/>
      <c r="E12" s="99"/>
      <c r="F12" s="99"/>
      <c r="G12" s="100" t="s">
        <v>1300</v>
      </c>
      <c r="H12" s="100"/>
      <c r="I12" s="99"/>
      <c r="J12" s="99" t="s">
        <v>70</v>
      </c>
      <c r="K12" s="99"/>
      <c r="L12" s="99" t="s">
        <v>1300</v>
      </c>
      <c r="M12" s="101">
        <f>IF(NOT(ISBLANK(L12)),VLOOKUP(L12, metrics_lookup_table, 4, FALSE))</f>
        <v>1.05</v>
      </c>
      <c r="N12" s="102">
        <f>IF(NOT(ISBLANK(L12)),VLOOKUP(L12, metrics_lookup_table, 5, FALSE))</f>
        <v>2.5</v>
      </c>
      <c r="O12" s="103">
        <v>1</v>
      </c>
      <c r="P12" s="95"/>
      <c r="Q12" s="98">
        <f t="shared" si="0"/>
        <v>1.05</v>
      </c>
      <c r="R12" s="93"/>
      <c r="S12" s="94">
        <f t="shared" si="1"/>
        <v>2.5</v>
      </c>
      <c r="T12" s="95"/>
      <c r="U12" s="96">
        <f t="shared" si="2"/>
        <v>1.8</v>
      </c>
      <c r="V12" s="97"/>
      <c r="AD12" s="392"/>
    </row>
    <row r="13" spans="1:30" x14ac:dyDescent="0.25">
      <c r="A13" s="6"/>
      <c r="B13" s="80"/>
      <c r="C13" s="99"/>
      <c r="D13" s="99"/>
      <c r="E13" s="99"/>
      <c r="F13" s="99"/>
      <c r="G13" s="100" t="s">
        <v>1306</v>
      </c>
      <c r="H13" s="100"/>
      <c r="I13" s="99"/>
      <c r="J13" s="99" t="s">
        <v>70</v>
      </c>
      <c r="K13" s="99"/>
      <c r="L13" s="99" t="s">
        <v>1306</v>
      </c>
      <c r="M13" s="101">
        <f>IF(NOT(ISBLANK(L13)),VLOOKUP(L13, metrics_lookup_table, 4, FALSE))</f>
        <v>1.5</v>
      </c>
      <c r="N13" s="102">
        <f>IF(NOT(ISBLANK(L13)),VLOOKUP(L13, metrics_lookup_table, 5, FALSE))</f>
        <v>3.15</v>
      </c>
      <c r="O13" s="103">
        <v>1</v>
      </c>
      <c r="P13" s="95"/>
      <c r="Q13" s="98">
        <f t="shared" si="0"/>
        <v>1.5</v>
      </c>
      <c r="R13" s="93"/>
      <c r="S13" s="94">
        <f t="shared" si="1"/>
        <v>3.15</v>
      </c>
      <c r="T13" s="95"/>
      <c r="U13" s="96">
        <f t="shared" si="2"/>
        <v>2.2999999999999998</v>
      </c>
      <c r="V13" s="97"/>
      <c r="AD13" s="393"/>
    </row>
    <row r="14" spans="1:30" x14ac:dyDescent="0.25">
      <c r="A14" s="6"/>
      <c r="B14" s="80"/>
      <c r="C14" s="99"/>
      <c r="D14" s="99"/>
      <c r="E14" s="99"/>
      <c r="F14" s="99"/>
      <c r="G14" s="100" t="s">
        <v>1307</v>
      </c>
      <c r="H14" s="100"/>
      <c r="I14" s="99"/>
      <c r="J14" s="99" t="s">
        <v>70</v>
      </c>
      <c r="K14" s="99"/>
      <c r="L14" s="99" t="s">
        <v>1307</v>
      </c>
      <c r="M14" s="101">
        <f>IF(NOT(ISBLANK(L14)),VLOOKUP(L14, metrics_lookup_table, 4, FALSE))</f>
        <v>1.05</v>
      </c>
      <c r="N14" s="102">
        <f>IF(NOT(ISBLANK(L14)),VLOOKUP(L14, metrics_lookup_table, 5, FALSE))</f>
        <v>2.25</v>
      </c>
      <c r="O14" s="103">
        <v>1</v>
      </c>
      <c r="P14" s="95"/>
      <c r="Q14" s="98">
        <f t="shared" si="0"/>
        <v>1.05</v>
      </c>
      <c r="R14" s="93"/>
      <c r="S14" s="94">
        <f t="shared" si="1"/>
        <v>2.25</v>
      </c>
      <c r="T14" s="95"/>
      <c r="U14" s="96">
        <f t="shared" si="2"/>
        <v>1.7</v>
      </c>
      <c r="V14" s="97"/>
      <c r="AD14" s="392"/>
    </row>
    <row r="15" spans="1:30" ht="25.5" x14ac:dyDescent="0.25">
      <c r="A15" s="6"/>
      <c r="B15" s="80"/>
      <c r="C15" s="99"/>
      <c r="D15" s="99"/>
      <c r="E15" s="99"/>
      <c r="F15" s="99"/>
      <c r="G15" s="100" t="s">
        <v>1301</v>
      </c>
      <c r="H15" s="100"/>
      <c r="I15" s="99"/>
      <c r="J15" s="99" t="s">
        <v>70</v>
      </c>
      <c r="K15" s="99"/>
      <c r="L15" s="99" t="s">
        <v>1301</v>
      </c>
      <c r="M15" s="101">
        <f>IF(NOT(ISBLANK(L15)),VLOOKUP(L15, metrics_lookup_table, 4, FALSE))</f>
        <v>6.37</v>
      </c>
      <c r="N15" s="102">
        <f>IF(NOT(ISBLANK(L15)),VLOOKUP(L15, metrics_lookup_table, 5, FALSE))</f>
        <v>12.75</v>
      </c>
      <c r="O15" s="103">
        <v>1</v>
      </c>
      <c r="P15" s="95"/>
      <c r="Q15" s="98">
        <f t="shared" si="0"/>
        <v>6.37</v>
      </c>
      <c r="R15" s="93"/>
      <c r="S15" s="94">
        <f t="shared" si="1"/>
        <v>12.75</v>
      </c>
      <c r="T15" s="95"/>
      <c r="U15" s="96">
        <f t="shared" si="2"/>
        <v>9.6</v>
      </c>
      <c r="V15" s="97"/>
    </row>
    <row r="16" spans="1:30" ht="25.5" x14ac:dyDescent="0.25">
      <c r="A16" s="6"/>
      <c r="B16" s="80"/>
      <c r="C16" s="99"/>
      <c r="D16" s="99"/>
      <c r="E16" s="99"/>
      <c r="F16" s="99"/>
      <c r="G16" s="100" t="s">
        <v>1308</v>
      </c>
      <c r="H16" s="100"/>
      <c r="I16" s="99"/>
      <c r="J16" s="99" t="s">
        <v>70</v>
      </c>
      <c r="K16" s="99"/>
      <c r="L16" s="99" t="s">
        <v>1308</v>
      </c>
      <c r="M16" s="101">
        <f>IF(NOT(ISBLANK(L16)),VLOOKUP(L16, metrics_lookup_table, 4, FALSE))</f>
        <v>5.65</v>
      </c>
      <c r="N16" s="102">
        <f>IF(NOT(ISBLANK(L16)),VLOOKUP(L16, metrics_lookup_table, 5, FALSE))</f>
        <v>11.25</v>
      </c>
      <c r="O16" s="103">
        <v>1</v>
      </c>
      <c r="P16" s="95"/>
      <c r="Q16" s="98">
        <f t="shared" si="0"/>
        <v>5.65</v>
      </c>
      <c r="R16" s="93"/>
      <c r="S16" s="94">
        <f t="shared" si="1"/>
        <v>11.25</v>
      </c>
      <c r="T16" s="95"/>
      <c r="U16" s="96">
        <f t="shared" si="2"/>
        <v>8.5</v>
      </c>
      <c r="V16" s="97"/>
    </row>
    <row r="17" spans="1:22" ht="25.5" x14ac:dyDescent="0.25">
      <c r="A17" s="6"/>
      <c r="B17" s="80"/>
      <c r="C17" s="99"/>
      <c r="D17" s="99"/>
      <c r="E17" s="99"/>
      <c r="F17" s="99"/>
      <c r="G17" s="100" t="s">
        <v>1295</v>
      </c>
      <c r="H17" s="100"/>
      <c r="I17" s="99"/>
      <c r="J17" s="99" t="s">
        <v>70</v>
      </c>
      <c r="K17" s="99"/>
      <c r="L17" s="99" t="s">
        <v>1295</v>
      </c>
      <c r="M17" s="101">
        <f>IF(NOT(ISBLANK(L17)),VLOOKUP(L17, metrics_lookup_table, 4, FALSE))</f>
        <v>10.62</v>
      </c>
      <c r="N17" s="102">
        <f>IF(NOT(ISBLANK(L17)),VLOOKUP(L17, metrics_lookup_table, 5, FALSE))</f>
        <v>5.31</v>
      </c>
      <c r="O17" s="103">
        <v>1</v>
      </c>
      <c r="P17" s="95"/>
      <c r="Q17" s="98">
        <f t="shared" si="0"/>
        <v>10.62</v>
      </c>
      <c r="R17" s="93"/>
      <c r="S17" s="94">
        <f t="shared" si="1"/>
        <v>5.31</v>
      </c>
      <c r="T17" s="95"/>
      <c r="U17" s="96">
        <f t="shared" si="2"/>
        <v>8</v>
      </c>
      <c r="V17" s="97"/>
    </row>
    <row r="18" spans="1:22" ht="25.5" x14ac:dyDescent="0.25">
      <c r="A18" s="6"/>
      <c r="B18" s="80"/>
      <c r="C18" s="81"/>
      <c r="D18" s="81"/>
      <c r="E18" s="81"/>
      <c r="F18" s="81"/>
      <c r="G18" s="100" t="s">
        <v>1297</v>
      </c>
      <c r="H18" s="82"/>
      <c r="I18" s="81"/>
      <c r="J18" s="81" t="s">
        <v>70</v>
      </c>
      <c r="K18" s="81"/>
      <c r="L18" s="81" t="s">
        <v>1297</v>
      </c>
      <c r="M18" s="83">
        <f>IF(NOT(ISBLANK(L18)),VLOOKUP(L18, metrics_lookup_table, 4, FALSE))</f>
        <v>9.3699999999999992</v>
      </c>
      <c r="N18" s="84">
        <f>IF(NOT(ISBLANK(L18)),VLOOKUP(L18, metrics_lookup_table, 5, FALSE))</f>
        <v>4.68</v>
      </c>
      <c r="O18" s="85">
        <v>1</v>
      </c>
      <c r="P18" s="86"/>
      <c r="Q18" s="87">
        <f t="shared" si="0"/>
        <v>9.3699999999999992</v>
      </c>
      <c r="R18" s="88"/>
      <c r="S18" s="89">
        <f t="shared" si="1"/>
        <v>4.68</v>
      </c>
      <c r="T18" s="86"/>
      <c r="U18" s="90">
        <f t="shared" si="2"/>
        <v>7</v>
      </c>
      <c r="V18" s="91"/>
    </row>
    <row r="19" spans="1:22" ht="25.5" x14ac:dyDescent="0.25">
      <c r="A19" s="6"/>
      <c r="B19" s="80"/>
      <c r="C19" s="81"/>
      <c r="D19" s="81"/>
      <c r="E19" s="81"/>
      <c r="F19" s="81"/>
      <c r="G19" s="100" t="s">
        <v>1309</v>
      </c>
      <c r="H19" s="82"/>
      <c r="I19" s="81"/>
      <c r="J19" s="81" t="s">
        <v>70</v>
      </c>
      <c r="K19" s="81"/>
      <c r="L19" s="81" t="s">
        <v>1309</v>
      </c>
      <c r="M19" s="83">
        <f>IF(NOT(ISBLANK(L19)),VLOOKUP(L19, metrics_lookup_table, 4, FALSE))</f>
        <v>1.81</v>
      </c>
      <c r="N19" s="84">
        <f>IF(NOT(ISBLANK(L19)),VLOOKUP(L19, metrics_lookup_table, 5, FALSE))</f>
        <v>3.62</v>
      </c>
      <c r="O19" s="85">
        <v>1</v>
      </c>
      <c r="P19" s="86"/>
      <c r="Q19" s="87">
        <f t="shared" si="0"/>
        <v>1.81</v>
      </c>
      <c r="R19" s="88"/>
      <c r="S19" s="89">
        <f t="shared" si="1"/>
        <v>3.62</v>
      </c>
      <c r="T19" s="86"/>
      <c r="U19" s="90">
        <f t="shared" si="2"/>
        <v>2.7</v>
      </c>
      <c r="V19" s="91"/>
    </row>
    <row r="20" spans="1:22" ht="25.5" x14ac:dyDescent="0.25">
      <c r="A20" s="6"/>
      <c r="B20" s="80"/>
      <c r="C20" s="81"/>
      <c r="D20" s="81"/>
      <c r="E20" s="81"/>
      <c r="F20" s="81"/>
      <c r="G20" s="100" t="s">
        <v>1310</v>
      </c>
      <c r="H20" s="82"/>
      <c r="I20" s="81"/>
      <c r="J20" s="81" t="s">
        <v>70</v>
      </c>
      <c r="K20" s="81"/>
      <c r="L20" s="81" t="s">
        <v>1310</v>
      </c>
      <c r="M20" s="83">
        <f>IF(NOT(ISBLANK(L20)),VLOOKUP(L20, metrics_lookup_table, 4, FALSE))</f>
        <v>4.1500000000000004</v>
      </c>
      <c r="N20" s="84">
        <f>IF(NOT(ISBLANK(L20)),VLOOKUP(L20, metrics_lookup_table, 5, FALSE))</f>
        <v>2.0499999999999998</v>
      </c>
      <c r="O20" s="85">
        <v>1</v>
      </c>
      <c r="P20" s="86"/>
      <c r="Q20" s="87">
        <f t="shared" si="0"/>
        <v>4.1500000000000004</v>
      </c>
      <c r="R20" s="88"/>
      <c r="S20" s="89">
        <f t="shared" si="1"/>
        <v>2.0499999999999998</v>
      </c>
      <c r="T20" s="86"/>
      <c r="U20" s="90">
        <f t="shared" si="2"/>
        <v>3.1</v>
      </c>
      <c r="V20" s="91"/>
    </row>
    <row r="21" spans="1:22" ht="25.5" x14ac:dyDescent="0.25">
      <c r="A21" s="6"/>
      <c r="B21" s="80"/>
      <c r="C21" s="81"/>
      <c r="D21" s="81"/>
      <c r="E21" s="81"/>
      <c r="F21" s="81"/>
      <c r="G21" s="100" t="s">
        <v>1311</v>
      </c>
      <c r="H21" s="82"/>
      <c r="I21" s="81"/>
      <c r="J21" s="81" t="s">
        <v>70</v>
      </c>
      <c r="K21" s="81"/>
      <c r="L21" s="81" t="s">
        <v>1311</v>
      </c>
      <c r="M21" s="83">
        <f>IF(NOT(ISBLANK(L21)),VLOOKUP(L21, metrics_lookup_table, 4, FALSE))</f>
        <v>1.93</v>
      </c>
      <c r="N21" s="84">
        <f>IF(NOT(ISBLANK(L21)),VLOOKUP(L21, metrics_lookup_table, 5, FALSE))</f>
        <v>3.87</v>
      </c>
      <c r="O21" s="85">
        <v>1</v>
      </c>
      <c r="P21" s="86"/>
      <c r="Q21" s="87">
        <f t="shared" si="0"/>
        <v>1.93</v>
      </c>
      <c r="R21" s="88"/>
      <c r="S21" s="89">
        <f t="shared" si="1"/>
        <v>3.87</v>
      </c>
      <c r="T21" s="86"/>
      <c r="U21" s="90">
        <f t="shared" si="2"/>
        <v>2.9</v>
      </c>
      <c r="V21" s="91"/>
    </row>
    <row r="22" spans="1:22" ht="25.5" x14ac:dyDescent="0.25">
      <c r="A22" s="6"/>
      <c r="B22" s="80"/>
      <c r="C22" s="81"/>
      <c r="D22" s="81"/>
      <c r="E22" s="81"/>
      <c r="F22" s="81"/>
      <c r="G22" s="100" t="s">
        <v>1312</v>
      </c>
      <c r="H22" s="82"/>
      <c r="I22" s="81"/>
      <c r="J22" s="81" t="s">
        <v>70</v>
      </c>
      <c r="K22" s="81"/>
      <c r="L22" s="81" t="s">
        <v>1312</v>
      </c>
      <c r="M22" s="83">
        <f>IF(NOT(ISBLANK(L22)),VLOOKUP(L22, metrics_lookup_table, 4, FALSE))</f>
        <v>1.5</v>
      </c>
      <c r="N22" s="84">
        <f>IF(NOT(ISBLANK(L22)),VLOOKUP(L22, metrics_lookup_table, 5, FALSE))</f>
        <v>3</v>
      </c>
      <c r="O22" s="85">
        <v>1</v>
      </c>
      <c r="P22" s="86"/>
      <c r="Q22" s="98">
        <f t="shared" si="0"/>
        <v>1.5</v>
      </c>
      <c r="R22" s="88"/>
      <c r="S22" s="89">
        <f t="shared" si="1"/>
        <v>3</v>
      </c>
      <c r="T22" s="86"/>
      <c r="U22" s="90">
        <f t="shared" si="2"/>
        <v>2.2999999999999998</v>
      </c>
      <c r="V22" s="91"/>
    </row>
    <row r="23" spans="1:22" ht="25.5" x14ac:dyDescent="0.25">
      <c r="A23" s="6"/>
      <c r="B23" s="80"/>
      <c r="C23" s="81"/>
      <c r="D23" s="81"/>
      <c r="E23" s="81"/>
      <c r="F23" s="81"/>
      <c r="G23" s="100" t="s">
        <v>1313</v>
      </c>
      <c r="H23" s="82"/>
      <c r="I23" s="81"/>
      <c r="J23" s="81" t="s">
        <v>70</v>
      </c>
      <c r="K23" s="81"/>
      <c r="L23" s="81" t="s">
        <v>1313</v>
      </c>
      <c r="M23" s="83">
        <f>IF(NOT(ISBLANK(L23)),VLOOKUP(L23, metrics_lookup_table, 4, FALSE))</f>
        <v>1.43</v>
      </c>
      <c r="N23" s="84">
        <f>IF(NOT(ISBLANK(L23)),VLOOKUP(L23, metrics_lookup_table, 5, FALSE))</f>
        <v>2.87</v>
      </c>
      <c r="O23" s="85">
        <v>1</v>
      </c>
      <c r="P23" s="86"/>
      <c r="Q23" s="87">
        <f t="shared" si="0"/>
        <v>1.43</v>
      </c>
      <c r="R23" s="88"/>
      <c r="S23" s="89">
        <f t="shared" si="1"/>
        <v>2.87</v>
      </c>
      <c r="T23" s="86"/>
      <c r="U23" s="90">
        <f t="shared" si="2"/>
        <v>2.2000000000000002</v>
      </c>
      <c r="V23" s="91"/>
    </row>
    <row r="24" spans="1:22" ht="15.75" customHeight="1" x14ac:dyDescent="0.25">
      <c r="A24" s="6"/>
      <c r="B24" s="80"/>
      <c r="C24" s="81"/>
      <c r="D24" s="81"/>
      <c r="E24" s="81"/>
      <c r="F24" s="81"/>
      <c r="G24" s="100" t="s">
        <v>1314</v>
      </c>
      <c r="H24" s="82"/>
      <c r="I24" s="81"/>
      <c r="J24" s="81" t="s">
        <v>70</v>
      </c>
      <c r="K24" s="81"/>
      <c r="L24" s="81" t="s">
        <v>1314</v>
      </c>
      <c r="M24" s="83">
        <f>IF(NOT(ISBLANK(L24)),VLOOKUP(L24, metrics_lookup_table, 4, FALSE))</f>
        <v>1.75</v>
      </c>
      <c r="N24" s="84">
        <f>IF(NOT(ISBLANK(L24)),VLOOKUP(L24, metrics_lookup_table, 5, FALSE))</f>
        <v>4.25</v>
      </c>
      <c r="O24" s="85">
        <v>1</v>
      </c>
      <c r="P24" s="86"/>
      <c r="Q24" s="90">
        <f t="shared" si="0"/>
        <v>1.75</v>
      </c>
      <c r="R24" s="93"/>
      <c r="S24" s="94">
        <f t="shared" si="1"/>
        <v>4.25</v>
      </c>
      <c r="T24" s="95"/>
      <c r="U24" s="96">
        <f t="shared" si="2"/>
        <v>3</v>
      </c>
      <c r="V24" s="97"/>
    </row>
    <row r="25" spans="1:22" ht="15.75" customHeight="1" x14ac:dyDescent="0.25">
      <c r="A25" s="6"/>
      <c r="B25" s="80"/>
      <c r="C25" s="81"/>
      <c r="D25" s="81"/>
      <c r="E25" s="81"/>
      <c r="F25" s="81"/>
      <c r="G25" s="100" t="s">
        <v>1317</v>
      </c>
      <c r="H25" s="82"/>
      <c r="I25" s="81"/>
      <c r="J25" s="81" t="s">
        <v>70</v>
      </c>
      <c r="K25" s="81"/>
      <c r="L25" s="81" t="s">
        <v>1317</v>
      </c>
      <c r="M25" s="83">
        <f>IF(NOT(ISBLANK(L25)),VLOOKUP(L25, metrics_lookup_table, 4, FALSE))</f>
        <v>0.5</v>
      </c>
      <c r="N25" s="84">
        <f>IF(NOT(ISBLANK(L25)),VLOOKUP(L25, metrics_lookup_table, 5, FALSE))</f>
        <v>1</v>
      </c>
      <c r="O25" s="85">
        <v>1</v>
      </c>
      <c r="P25" s="86"/>
      <c r="Q25" s="90">
        <f t="shared" si="0"/>
        <v>0.5</v>
      </c>
      <c r="R25" s="93"/>
      <c r="S25" s="94">
        <f t="shared" si="1"/>
        <v>1</v>
      </c>
      <c r="T25" s="95"/>
      <c r="U25" s="96">
        <f t="shared" si="2"/>
        <v>0.8</v>
      </c>
      <c r="V25" s="97"/>
    </row>
    <row r="26" spans="1:22" ht="15.75" customHeight="1" x14ac:dyDescent="0.25">
      <c r="A26" s="6"/>
      <c r="B26" s="80"/>
      <c r="C26" s="81"/>
      <c r="D26" s="81"/>
      <c r="E26" s="81"/>
      <c r="F26" s="81"/>
      <c r="G26" s="100" t="s">
        <v>1320</v>
      </c>
      <c r="H26" s="82"/>
      <c r="I26" s="81"/>
      <c r="J26" s="81" t="s">
        <v>70</v>
      </c>
      <c r="K26" s="81"/>
      <c r="L26" s="81" t="s">
        <v>1320</v>
      </c>
      <c r="M26" s="83">
        <f>IF(NOT(ISBLANK(L26)),VLOOKUP(L26, metrics_lookup_table, 4, FALSE))</f>
        <v>1</v>
      </c>
      <c r="N26" s="84">
        <f>IF(NOT(ISBLANK(L26)),VLOOKUP(L26, metrics_lookup_table, 5, FALSE))</f>
        <v>2</v>
      </c>
      <c r="O26" s="85">
        <v>1</v>
      </c>
      <c r="P26" s="86"/>
      <c r="Q26" s="90">
        <f t="shared" si="0"/>
        <v>1</v>
      </c>
      <c r="R26" s="93"/>
      <c r="S26" s="94">
        <f t="shared" si="1"/>
        <v>2</v>
      </c>
      <c r="T26" s="95"/>
      <c r="U26" s="96">
        <f t="shared" si="2"/>
        <v>1.5</v>
      </c>
      <c r="V26" s="97"/>
    </row>
    <row r="27" spans="1:22" ht="15.75" customHeight="1" x14ac:dyDescent="0.25">
      <c r="A27" s="6"/>
      <c r="B27" s="80"/>
      <c r="C27" s="81"/>
      <c r="D27" s="81"/>
      <c r="E27" s="81"/>
      <c r="F27" s="81"/>
      <c r="G27" s="100" t="s">
        <v>1322</v>
      </c>
      <c r="H27" s="82"/>
      <c r="I27" s="81"/>
      <c r="J27" s="81" t="s">
        <v>70</v>
      </c>
      <c r="K27" s="81"/>
      <c r="L27" s="81" t="s">
        <v>1322</v>
      </c>
      <c r="M27" s="83">
        <f>IF(NOT(ISBLANK(L27)),VLOOKUP(L27, metrics_lookup_table, 4, FALSE))</f>
        <v>0.5</v>
      </c>
      <c r="N27" s="84">
        <f>IF(NOT(ISBLANK(L27)),VLOOKUP(L27, metrics_lookup_table, 5, FALSE))</f>
        <v>1</v>
      </c>
      <c r="O27" s="85">
        <v>1</v>
      </c>
      <c r="P27" s="86"/>
      <c r="Q27" s="90">
        <f t="shared" si="0"/>
        <v>0.5</v>
      </c>
      <c r="R27" s="93"/>
      <c r="S27" s="94">
        <f t="shared" si="1"/>
        <v>1</v>
      </c>
      <c r="T27" s="95"/>
      <c r="U27" s="96">
        <f t="shared" si="2"/>
        <v>0.8</v>
      </c>
      <c r="V27" s="97"/>
    </row>
    <row r="28" spans="1:22" ht="15.75" customHeight="1" x14ac:dyDescent="0.25">
      <c r="A28" s="6"/>
      <c r="B28" s="80"/>
      <c r="C28" s="81"/>
      <c r="D28" s="81"/>
      <c r="E28" s="81"/>
      <c r="F28" s="81"/>
      <c r="G28" s="81"/>
      <c r="H28" s="82"/>
      <c r="I28" s="81"/>
      <c r="J28" s="81" t="s">
        <v>70</v>
      </c>
      <c r="K28" s="81"/>
      <c r="L28" s="81"/>
      <c r="M28" s="83"/>
      <c r="N28" s="84"/>
      <c r="O28" s="85">
        <v>1</v>
      </c>
      <c r="P28" s="86"/>
      <c r="Q28" s="90" t="str">
        <f t="shared" si="0"/>
        <v/>
      </c>
      <c r="R28" s="93"/>
      <c r="S28" s="94" t="str">
        <f t="shared" si="1"/>
        <v/>
      </c>
      <c r="T28" s="95"/>
      <c r="U28" s="96" t="str">
        <f t="shared" si="2"/>
        <v/>
      </c>
      <c r="V28" s="97"/>
    </row>
    <row r="29" spans="1:22" x14ac:dyDescent="0.25">
      <c r="A29" s="6"/>
      <c r="B29" s="80"/>
      <c r="C29" s="81"/>
      <c r="D29" s="81"/>
      <c r="E29" s="81"/>
      <c r="F29" s="81"/>
      <c r="G29" s="81"/>
      <c r="H29" s="82"/>
      <c r="I29" s="81"/>
      <c r="J29" s="81" t="s">
        <v>70</v>
      </c>
      <c r="K29" s="81"/>
      <c r="L29" s="81"/>
      <c r="M29" s="83"/>
      <c r="N29" s="84"/>
      <c r="O29" s="85">
        <v>1</v>
      </c>
      <c r="P29" s="95"/>
      <c r="Q29" s="87" t="str">
        <f t="shared" si="0"/>
        <v/>
      </c>
      <c r="R29" s="88"/>
      <c r="S29" s="89" t="str">
        <f t="shared" si="1"/>
        <v/>
      </c>
      <c r="T29" s="86"/>
      <c r="U29" s="90" t="str">
        <f t="shared" si="2"/>
        <v/>
      </c>
      <c r="V29" s="91"/>
    </row>
    <row r="30" spans="1:22" x14ac:dyDescent="0.25">
      <c r="A30" s="6"/>
      <c r="B30" s="80"/>
      <c r="C30" s="81"/>
      <c r="D30" s="81"/>
      <c r="E30" s="81"/>
      <c r="F30" s="81"/>
      <c r="G30" s="81"/>
      <c r="H30" s="82"/>
      <c r="I30" s="81"/>
      <c r="J30" s="81" t="s">
        <v>70</v>
      </c>
      <c r="K30" s="81"/>
      <c r="L30" s="81"/>
      <c r="M30" s="83"/>
      <c r="N30" s="84"/>
      <c r="O30" s="85">
        <v>1</v>
      </c>
      <c r="P30" s="86"/>
      <c r="Q30" s="87" t="str">
        <f t="shared" si="0"/>
        <v/>
      </c>
      <c r="R30" s="88"/>
      <c r="S30" s="89" t="str">
        <f t="shared" si="1"/>
        <v/>
      </c>
      <c r="T30" s="86"/>
      <c r="U30" s="90" t="str">
        <f t="shared" si="2"/>
        <v/>
      </c>
      <c r="V30" s="91"/>
    </row>
    <row r="31" spans="1:22" x14ac:dyDescent="0.25">
      <c r="A31" s="6"/>
      <c r="B31" s="80"/>
      <c r="C31" s="99"/>
      <c r="D31" s="99"/>
      <c r="E31" s="99"/>
      <c r="F31" s="99"/>
      <c r="G31" s="99"/>
      <c r="H31" s="100"/>
      <c r="I31" s="99"/>
      <c r="J31" s="99" t="s">
        <v>70</v>
      </c>
      <c r="K31" s="99"/>
      <c r="L31" s="99"/>
      <c r="M31" s="101"/>
      <c r="N31" s="102"/>
      <c r="O31" s="103">
        <v>1</v>
      </c>
      <c r="P31" s="95"/>
      <c r="Q31" s="87" t="str">
        <f t="shared" si="0"/>
        <v/>
      </c>
      <c r="R31" s="88"/>
      <c r="S31" s="89" t="str">
        <f t="shared" si="1"/>
        <v/>
      </c>
      <c r="T31" s="86"/>
      <c r="U31" s="90" t="str">
        <f t="shared" si="2"/>
        <v/>
      </c>
      <c r="V31" s="91"/>
    </row>
    <row r="32" spans="1:22" x14ac:dyDescent="0.25">
      <c r="A32" s="6"/>
      <c r="B32" s="80"/>
      <c r="C32" s="81"/>
      <c r="D32" s="81"/>
      <c r="E32" s="81"/>
      <c r="F32" s="81"/>
      <c r="G32" s="81"/>
      <c r="H32" s="82"/>
      <c r="I32" s="81"/>
      <c r="J32" s="81" t="s">
        <v>70</v>
      </c>
      <c r="K32" s="81"/>
      <c r="L32" s="81"/>
      <c r="M32" s="83"/>
      <c r="N32" s="84"/>
      <c r="O32" s="85">
        <v>1</v>
      </c>
      <c r="P32" s="86"/>
      <c r="Q32" s="87" t="str">
        <f t="shared" si="0"/>
        <v/>
      </c>
      <c r="R32" s="88"/>
      <c r="S32" s="89" t="str">
        <f t="shared" si="1"/>
        <v/>
      </c>
      <c r="T32" s="86"/>
      <c r="U32" s="90" t="str">
        <f t="shared" si="2"/>
        <v/>
      </c>
      <c r="V32" s="91"/>
    </row>
    <row r="33" spans="1:22" x14ac:dyDescent="0.25">
      <c r="A33" s="6"/>
      <c r="B33" s="80"/>
      <c r="C33" s="81"/>
      <c r="D33" s="81"/>
      <c r="E33" s="81"/>
      <c r="F33" s="81"/>
      <c r="G33" s="81"/>
      <c r="H33" s="82"/>
      <c r="I33" s="81"/>
      <c r="J33" s="81" t="s">
        <v>70</v>
      </c>
      <c r="K33" s="81"/>
      <c r="L33" s="81"/>
      <c r="M33" s="83"/>
      <c r="N33" s="84"/>
      <c r="O33" s="85">
        <v>1</v>
      </c>
      <c r="P33" s="86"/>
      <c r="Q33" s="87" t="str">
        <f t="shared" si="0"/>
        <v/>
      </c>
      <c r="R33" s="92"/>
      <c r="S33" s="89" t="str">
        <f t="shared" si="1"/>
        <v/>
      </c>
      <c r="T33" s="86"/>
      <c r="U33" s="90" t="str">
        <f t="shared" si="2"/>
        <v/>
      </c>
      <c r="V33" s="91"/>
    </row>
    <row r="34" spans="1:22" x14ac:dyDescent="0.25">
      <c r="A34" s="6"/>
      <c r="B34" s="80"/>
      <c r="C34" s="99"/>
      <c r="D34" s="99"/>
      <c r="E34" s="99"/>
      <c r="F34" s="99"/>
      <c r="G34" s="99"/>
      <c r="H34" s="100"/>
      <c r="I34" s="99"/>
      <c r="J34" s="99" t="s">
        <v>70</v>
      </c>
      <c r="K34" s="99"/>
      <c r="L34" s="99"/>
      <c r="M34" s="101"/>
      <c r="N34" s="102"/>
      <c r="O34" s="105">
        <v>1</v>
      </c>
      <c r="P34" s="86"/>
      <c r="Q34" s="90" t="str">
        <f t="shared" si="0"/>
        <v/>
      </c>
      <c r="R34" s="88"/>
      <c r="S34" s="89" t="str">
        <f t="shared" si="1"/>
        <v/>
      </c>
      <c r="T34" s="86"/>
      <c r="U34" s="90" t="str">
        <f t="shared" si="2"/>
        <v/>
      </c>
      <c r="V34" s="91"/>
    </row>
    <row r="35" spans="1:22" x14ac:dyDescent="0.25">
      <c r="A35" s="6"/>
      <c r="B35" s="80"/>
      <c r="C35" s="99"/>
      <c r="D35" s="99"/>
      <c r="E35" s="99"/>
      <c r="F35" s="99"/>
      <c r="G35" s="99"/>
      <c r="H35" s="100"/>
      <c r="I35" s="99"/>
      <c r="J35" s="99" t="s">
        <v>70</v>
      </c>
      <c r="K35" s="99"/>
      <c r="L35" s="99"/>
      <c r="M35" s="101"/>
      <c r="N35" s="102"/>
      <c r="O35" s="103">
        <v>1</v>
      </c>
      <c r="P35" s="95"/>
      <c r="Q35" s="96" t="str">
        <f t="shared" si="0"/>
        <v/>
      </c>
      <c r="R35" s="93"/>
      <c r="S35" s="94" t="str">
        <f t="shared" si="1"/>
        <v/>
      </c>
      <c r="T35" s="95"/>
      <c r="U35" s="96" t="str">
        <f t="shared" si="2"/>
        <v/>
      </c>
      <c r="V35" s="97"/>
    </row>
    <row r="36" spans="1:22" x14ac:dyDescent="0.25">
      <c r="A36" s="6"/>
      <c r="B36" s="80"/>
      <c r="C36" s="81"/>
      <c r="D36" s="81"/>
      <c r="E36" s="81"/>
      <c r="F36" s="82"/>
      <c r="G36" s="82"/>
      <c r="H36" s="82"/>
      <c r="I36" s="81"/>
      <c r="J36" s="81" t="s">
        <v>70</v>
      </c>
      <c r="K36" s="81"/>
      <c r="L36" s="81"/>
      <c r="M36" s="83"/>
      <c r="N36" s="84"/>
      <c r="O36" s="85">
        <v>1</v>
      </c>
      <c r="P36" s="86"/>
      <c r="Q36" s="96" t="str">
        <f t="shared" si="0"/>
        <v/>
      </c>
      <c r="R36" s="93"/>
      <c r="S36" s="94" t="str">
        <f t="shared" si="1"/>
        <v/>
      </c>
      <c r="T36" s="95"/>
      <c r="U36" s="96" t="str">
        <f t="shared" si="2"/>
        <v/>
      </c>
      <c r="V36" s="97"/>
    </row>
    <row r="37" spans="1:22" x14ac:dyDescent="0.25">
      <c r="A37" s="6"/>
      <c r="B37" s="80"/>
      <c r="C37" s="81"/>
      <c r="D37" s="81"/>
      <c r="E37" s="81"/>
      <c r="F37" s="82"/>
      <c r="G37" s="82"/>
      <c r="H37" s="82"/>
      <c r="I37" s="81"/>
      <c r="J37" s="81" t="s">
        <v>70</v>
      </c>
      <c r="K37" s="81"/>
      <c r="L37" s="81"/>
      <c r="M37" s="83"/>
      <c r="N37" s="84"/>
      <c r="O37" s="85">
        <v>1</v>
      </c>
      <c r="P37" s="86"/>
      <c r="Q37" s="96" t="str">
        <f t="shared" si="0"/>
        <v/>
      </c>
      <c r="R37" s="93"/>
      <c r="S37" s="94" t="str">
        <f t="shared" si="1"/>
        <v/>
      </c>
      <c r="T37" s="95"/>
      <c r="U37" s="96" t="str">
        <f t="shared" si="2"/>
        <v/>
      </c>
      <c r="V37" s="97"/>
    </row>
    <row r="38" spans="1:22" x14ac:dyDescent="0.25">
      <c r="A38" s="6"/>
      <c r="B38" s="80"/>
      <c r="C38" s="81"/>
      <c r="D38" s="81"/>
      <c r="E38" s="81"/>
      <c r="F38" s="82"/>
      <c r="G38" s="82"/>
      <c r="H38" s="82"/>
      <c r="I38" s="81"/>
      <c r="J38" s="81" t="s">
        <v>70</v>
      </c>
      <c r="K38" s="81"/>
      <c r="L38" s="81"/>
      <c r="M38" s="83"/>
      <c r="N38" s="84"/>
      <c r="O38" s="85">
        <v>1</v>
      </c>
      <c r="P38" s="86"/>
      <c r="Q38" s="98" t="str">
        <f t="shared" si="0"/>
        <v/>
      </c>
      <c r="R38" s="107"/>
      <c r="S38" s="94" t="str">
        <f t="shared" si="1"/>
        <v/>
      </c>
      <c r="T38" s="95"/>
      <c r="U38" s="96" t="str">
        <f t="shared" si="2"/>
        <v/>
      </c>
      <c r="V38" s="97"/>
    </row>
    <row r="39" spans="1:22" x14ac:dyDescent="0.25">
      <c r="B39" s="80"/>
      <c r="C39" s="81"/>
      <c r="D39" s="81"/>
      <c r="E39" s="81"/>
      <c r="F39" s="82"/>
      <c r="G39" s="82"/>
      <c r="H39" s="82"/>
      <c r="I39" s="81"/>
      <c r="J39" s="81" t="s">
        <v>70</v>
      </c>
      <c r="K39" s="81"/>
      <c r="L39" s="81"/>
      <c r="M39" s="83"/>
      <c r="N39" s="84"/>
      <c r="O39" s="85">
        <v>1</v>
      </c>
      <c r="P39" s="86"/>
      <c r="Q39" s="90" t="str">
        <f t="shared" si="0"/>
        <v/>
      </c>
      <c r="R39" s="93"/>
      <c r="S39" s="94" t="str">
        <f t="shared" si="1"/>
        <v/>
      </c>
      <c r="T39" s="95"/>
      <c r="U39" s="96" t="str">
        <f t="shared" si="2"/>
        <v/>
      </c>
      <c r="V39" s="97"/>
    </row>
    <row r="40" spans="1:22" hidden="1" x14ac:dyDescent="0.25">
      <c r="A40" s="6"/>
      <c r="B40" s="80"/>
      <c r="C40" s="81"/>
      <c r="D40" s="81"/>
      <c r="E40" s="81"/>
      <c r="F40" s="82"/>
      <c r="G40" s="82"/>
      <c r="H40" s="82"/>
      <c r="I40" s="81"/>
      <c r="J40" s="81" t="s">
        <v>70</v>
      </c>
      <c r="K40" s="81"/>
      <c r="L40" s="81"/>
      <c r="M40" s="83"/>
      <c r="N40" s="84"/>
      <c r="O40" s="85">
        <v>1</v>
      </c>
      <c r="P40" s="86"/>
      <c r="Q40" s="90" t="str">
        <f t="shared" si="0"/>
        <v/>
      </c>
      <c r="R40" s="93"/>
      <c r="S40" s="94" t="str">
        <f t="shared" si="1"/>
        <v/>
      </c>
      <c r="T40" s="95"/>
      <c r="U40" s="96" t="str">
        <f t="shared" si="2"/>
        <v/>
      </c>
      <c r="V40" s="97"/>
    </row>
    <row r="41" spans="1:22" ht="2.25" customHeight="1" x14ac:dyDescent="0.25">
      <c r="B41" s="8"/>
      <c r="C41" s="9"/>
      <c r="D41" s="9"/>
      <c r="E41" s="9"/>
      <c r="F41" s="10"/>
      <c r="G41" s="21"/>
      <c r="H41" s="21"/>
      <c r="I41" s="9"/>
      <c r="J41" s="9"/>
      <c r="K41" s="9"/>
      <c r="L41" s="9"/>
      <c r="M41" s="43"/>
      <c r="N41" s="43"/>
      <c r="O41" s="74">
        <v>1</v>
      </c>
      <c r="P41" s="45"/>
      <c r="Q41" s="75"/>
      <c r="R41" s="45"/>
      <c r="S41" s="45"/>
      <c r="T41" s="45"/>
      <c r="U41" s="45"/>
      <c r="V41" s="22"/>
    </row>
    <row r="42" spans="1:22" ht="15.75" customHeight="1" x14ac:dyDescent="0.25">
      <c r="B42" s="5"/>
      <c r="C42" s="5"/>
      <c r="D42" s="5"/>
      <c r="E42" s="5"/>
      <c r="F42" s="5"/>
      <c r="G42" s="5"/>
      <c r="H42" s="5"/>
      <c r="I42" s="5"/>
      <c r="J42" s="5"/>
      <c r="K42" s="5"/>
      <c r="L42" s="5"/>
      <c r="M42" s="5"/>
      <c r="N42" s="5"/>
      <c r="O42" s="5"/>
      <c r="P42" s="5"/>
      <c r="Q42" s="5"/>
      <c r="R42" s="5"/>
      <c r="S42" s="5"/>
      <c r="T42" s="5"/>
      <c r="U42" s="5"/>
      <c r="V42" s="5"/>
    </row>
    <row r="43" spans="1:22" x14ac:dyDescent="0.25">
      <c r="B43" s="5"/>
      <c r="C43" s="5"/>
      <c r="D43" s="5"/>
      <c r="E43" s="5"/>
      <c r="F43" s="5"/>
      <c r="G43" s="5"/>
      <c r="H43" s="5"/>
      <c r="I43" s="5"/>
      <c r="J43" s="5"/>
      <c r="K43" s="5"/>
      <c r="L43" s="5"/>
      <c r="M43" s="5"/>
      <c r="N43" s="5"/>
      <c r="O43" s="5"/>
      <c r="P43" s="5"/>
      <c r="Q43" s="5"/>
      <c r="R43" s="5"/>
      <c r="S43" s="5"/>
      <c r="T43" s="5"/>
      <c r="U43" s="5"/>
      <c r="V43" s="5"/>
    </row>
    <row r="44" spans="1:22" x14ac:dyDescent="0.25">
      <c r="B44" s="5"/>
      <c r="C44" s="5"/>
      <c r="D44" s="5"/>
      <c r="E44" s="5"/>
      <c r="F44" s="5"/>
      <c r="G44" s="5"/>
      <c r="H44" s="5"/>
      <c r="I44" s="5"/>
      <c r="J44" s="5"/>
      <c r="K44" s="5"/>
      <c r="L44" s="5"/>
      <c r="M44" s="5"/>
      <c r="N44" s="5"/>
      <c r="O44" s="5"/>
      <c r="P44" s="5"/>
      <c r="Q44" s="5"/>
      <c r="R44" s="5"/>
      <c r="S44" s="5"/>
      <c r="T44" s="5"/>
      <c r="U44" s="5"/>
      <c r="V44" s="5"/>
    </row>
    <row r="45" spans="1:22" x14ac:dyDescent="0.25">
      <c r="B45" s="5"/>
      <c r="C45" s="5"/>
      <c r="D45" s="5"/>
      <c r="E45" s="5"/>
      <c r="F45" s="5"/>
      <c r="G45" s="5"/>
      <c r="I45" s="5"/>
      <c r="J45" s="5"/>
      <c r="K45" s="5"/>
      <c r="L45" s="5"/>
      <c r="M45" s="5"/>
      <c r="N45" s="5"/>
      <c r="O45" s="5"/>
      <c r="P45" s="5"/>
      <c r="Q45" s="5"/>
      <c r="R45" s="5"/>
      <c r="S45" s="5"/>
      <c r="T45" s="5"/>
      <c r="U45" s="5"/>
      <c r="V45" s="5"/>
    </row>
    <row r="46" spans="1:22" x14ac:dyDescent="0.25">
      <c r="B46" s="5"/>
      <c r="C46" s="5"/>
      <c r="D46" s="5"/>
      <c r="E46" s="5"/>
      <c r="F46" s="5"/>
      <c r="G46" s="5"/>
      <c r="H46" s="5"/>
      <c r="I46" s="5"/>
      <c r="J46" s="5"/>
      <c r="K46" s="5"/>
      <c r="L46" s="5"/>
      <c r="M46" s="5"/>
      <c r="N46" s="5"/>
      <c r="O46" s="5"/>
      <c r="P46" s="5"/>
      <c r="Q46" s="5"/>
      <c r="R46" s="5"/>
      <c r="S46" s="5"/>
      <c r="T46" s="5"/>
      <c r="U46" s="5"/>
      <c r="V46" s="5"/>
    </row>
    <row r="47" spans="1:22" x14ac:dyDescent="0.25">
      <c r="B47" s="5"/>
      <c r="C47" s="5"/>
      <c r="D47" s="5"/>
      <c r="E47" s="5"/>
      <c r="F47" s="5"/>
      <c r="G47" s="5"/>
      <c r="H47" s="5"/>
      <c r="I47" s="5"/>
      <c r="J47" s="5"/>
      <c r="K47" s="5"/>
      <c r="L47" s="5"/>
      <c r="M47" s="5"/>
      <c r="N47" s="5"/>
      <c r="O47" s="5"/>
      <c r="P47" s="5"/>
      <c r="Q47" s="5"/>
      <c r="R47" s="5"/>
      <c r="S47" s="5"/>
      <c r="T47" s="5"/>
      <c r="U47" s="5"/>
      <c r="V47" s="5"/>
    </row>
    <row r="48" spans="1:22" x14ac:dyDescent="0.25">
      <c r="H48" s="5"/>
      <c r="I48" s="5"/>
    </row>
    <row r="49" spans="9:9" x14ac:dyDescent="0.25">
      <c r="I49" s="30"/>
    </row>
    <row r="50" spans="9:9" x14ac:dyDescent="0.25">
      <c r="I50" s="30"/>
    </row>
    <row r="51" spans="9:9" x14ac:dyDescent="0.25">
      <c r="I51" s="30"/>
    </row>
  </sheetData>
  <sortState ref="B7:V40">
    <sortCondition ref="H7"/>
  </sortState>
  <dataConsolidate/>
  <conditionalFormatting sqref="B7:B40">
    <cfRule type="cellIs" dxfId="47" priority="1" operator="equal">
      <formula>" "</formula>
    </cfRule>
    <cfRule type="cellIs" dxfId="46" priority="2" operator="equal">
      <formula>"W"</formula>
    </cfRule>
    <cfRule type="cellIs" dxfId="45" priority="3" operator="equal">
      <formula>"E"</formula>
    </cfRule>
    <cfRule type="cellIs" dxfId="44" priority="4" operator="equal">
      <formula>"X"</formula>
    </cfRule>
  </conditionalFormatting>
  <dataValidations count="7">
    <dataValidation type="list" allowBlank="1" showInputMessage="1" showErrorMessage="1" sqref="J7:J40">
      <formula1>list_scope_count</formula1>
    </dataValidation>
    <dataValidation type="list" allowBlank="1" showInputMessage="1" showErrorMessage="1" sqref="L7:L40">
      <formula1>list_story_types</formula1>
    </dataValidation>
    <dataValidation type="list" allowBlank="1" showInputMessage="1" showErrorMessage="1" sqref="F7:F40">
      <formula1>list_project_tracks</formula1>
    </dataValidation>
    <dataValidation type="custom" allowBlank="1" showInputMessage="1" showErrorMessage="1" errorTitle="Invalid Multiplier" error="You must enter a numeric value to define a valid multiplier." sqref="O7:O17">
      <formula1>ISNUMBER(O7)</formula1>
    </dataValidation>
    <dataValidation type="decimal" allowBlank="1" showInputMessage="1" showErrorMessage="1" errorTitle="Incorrect Value for ABP/HP" error="The entered value does not meet the criteria for 'ABP' or 'HP' values._x000a__x000a_Only decimal values ​​between 0.25 and 100 in increments of 0.25 are supported." sqref="S7:S41 Q7:Q41 M7:N41">
      <formula1>0.25</formula1>
      <formula2>100</formula2>
    </dataValidation>
    <dataValidation type="list" allowBlank="1" showInputMessage="1" showErrorMessage="1" sqref="E7:E40">
      <formula1>list_Phase</formula1>
    </dataValidation>
    <dataValidation type="list" allowBlank="1" showInputMessage="1" showErrorMessage="1" sqref="K7:K40">
      <formula1>list_Release</formula1>
    </dataValidation>
  </dataValidations>
  <pageMargins left="0.39370078740157499" right="0.39370078740157499" top="0.59055118110236204" bottom="0.59055118110236204" header="0.196850393700787" footer="0.196850393700787"/>
  <pageSetup scale="39" orientation="portrait"/>
  <headerFooter>
    <oddFooter>&amp;L&amp;"Calibri,Regular"&amp;9&amp;D&amp;C&amp;"Calibri,Regular"&amp;9&amp;GSapient Confidential
      &amp;6     Estimation Tool V5.0.0&amp;R&amp;"Calibri,Regular"&amp;9Page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pageSetUpPr fitToPage="1"/>
  </sheetPr>
  <dimension ref="A1:L25"/>
  <sheetViews>
    <sheetView showGridLines="0" workbookViewId="0"/>
  </sheetViews>
  <sheetFormatPr defaultColWidth="8.875" defaultRowHeight="15.75" x14ac:dyDescent="0.25"/>
  <cols>
    <col min="1" max="1" width="1.875" customWidth="1"/>
    <col min="2" max="2" width="11.375" customWidth="1"/>
    <col min="3" max="3" width="13.625" customWidth="1"/>
    <col min="4" max="5" width="10.875" customWidth="1"/>
    <col min="6" max="6" width="34.375" customWidth="1"/>
    <col min="7" max="7" width="9.375" customWidth="1"/>
    <col min="8" max="8" width="35.875" customWidth="1"/>
    <col min="9" max="10" width="9.375" customWidth="1"/>
    <col min="11" max="11" width="28.125" customWidth="1"/>
    <col min="12" max="12" width="25" customWidth="1"/>
    <col min="13" max="13" width="1.875" customWidth="1"/>
    <col min="14" max="17" width="8.125" customWidth="1"/>
    <col min="18" max="18" width="1.875" customWidth="1"/>
  </cols>
  <sheetData>
    <row r="1" spans="1:12" ht="2.25" customHeight="1" x14ac:dyDescent="0.25"/>
    <row r="2" spans="1:12" ht="49.5" customHeight="1" x14ac:dyDescent="0.25">
      <c r="B2" s="354" t="s">
        <v>28</v>
      </c>
      <c r="C2" s="349" t="str">
        <f>project_headline</f>
        <v>CAI Cycle 7 Stage I QA | Estimation</v>
      </c>
      <c r="D2" s="355"/>
      <c r="G2" s="12"/>
      <c r="H2" s="518" t="s">
        <v>833</v>
      </c>
      <c r="I2" s="519"/>
      <c r="J2" s="148">
        <f>SUM(J5:J18)</f>
        <v>0</v>
      </c>
    </row>
    <row r="3" spans="1:12" ht="9" customHeight="1" x14ac:dyDescent="0.25">
      <c r="B3" s="2"/>
      <c r="C3" s="2"/>
    </row>
    <row r="4" spans="1:12" ht="31.5" customHeight="1" x14ac:dyDescent="0.25">
      <c r="A4" s="56"/>
      <c r="B4" s="114" t="s">
        <v>29</v>
      </c>
      <c r="C4" s="371" t="s">
        <v>1190</v>
      </c>
      <c r="D4" s="73" t="s">
        <v>30</v>
      </c>
      <c r="E4" s="369" t="s">
        <v>543</v>
      </c>
      <c r="F4" s="73" t="s">
        <v>32</v>
      </c>
      <c r="G4" s="73" t="s">
        <v>31</v>
      </c>
      <c r="H4" s="73" t="s">
        <v>33</v>
      </c>
      <c r="I4" s="73" t="s">
        <v>34</v>
      </c>
      <c r="J4" s="73" t="s">
        <v>36</v>
      </c>
      <c r="K4" s="147" t="s">
        <v>35</v>
      </c>
    </row>
    <row r="5" spans="1:12" ht="153" x14ac:dyDescent="0.25">
      <c r="A5" s="137"/>
      <c r="B5" s="136"/>
      <c r="C5" s="136" t="s">
        <v>17</v>
      </c>
      <c r="D5" s="99" t="s">
        <v>17</v>
      </c>
      <c r="E5" s="99" t="s">
        <v>17</v>
      </c>
      <c r="F5" s="100" t="s">
        <v>37</v>
      </c>
      <c r="G5" s="125">
        <v>0</v>
      </c>
      <c r="H5" s="100" t="s">
        <v>42</v>
      </c>
      <c r="I5" s="102">
        <v>0</v>
      </c>
      <c r="J5" s="96">
        <f t="shared" ref="J5:J18" si="0">I5*(IF(ISNUMBER(G5),G5,1))</f>
        <v>0</v>
      </c>
      <c r="K5" s="97" t="s">
        <v>43</v>
      </c>
      <c r="L5" s="5"/>
    </row>
    <row r="6" spans="1:12" ht="153" x14ac:dyDescent="0.25">
      <c r="A6" s="137"/>
      <c r="B6" s="134"/>
      <c r="C6" s="134" t="s">
        <v>17</v>
      </c>
      <c r="D6" s="81" t="s">
        <v>17</v>
      </c>
      <c r="E6" s="149" t="s">
        <v>17</v>
      </c>
      <c r="F6" s="128" t="s">
        <v>38</v>
      </c>
      <c r="G6" s="105">
        <v>0</v>
      </c>
      <c r="H6" s="82" t="s">
        <v>48</v>
      </c>
      <c r="I6" s="84">
        <v>0</v>
      </c>
      <c r="J6" s="90">
        <f t="shared" si="0"/>
        <v>0</v>
      </c>
      <c r="K6" s="91" t="s">
        <v>44</v>
      </c>
      <c r="L6" s="5"/>
    </row>
    <row r="7" spans="1:12" ht="25.5" x14ac:dyDescent="0.25">
      <c r="A7" s="137"/>
      <c r="B7" s="134"/>
      <c r="C7" s="134" t="s">
        <v>17</v>
      </c>
      <c r="D7" s="81" t="s">
        <v>17</v>
      </c>
      <c r="E7" s="149" t="s">
        <v>17</v>
      </c>
      <c r="F7" s="128" t="s">
        <v>39</v>
      </c>
      <c r="G7" s="105">
        <v>0</v>
      </c>
      <c r="H7" s="82" t="s">
        <v>47</v>
      </c>
      <c r="I7" s="83">
        <v>0</v>
      </c>
      <c r="J7" s="129">
        <f t="shared" si="0"/>
        <v>0</v>
      </c>
      <c r="K7" s="130"/>
      <c r="L7" s="5"/>
    </row>
    <row r="8" spans="1:12" ht="25.5" x14ac:dyDescent="0.25">
      <c r="A8" s="137"/>
      <c r="B8" s="135"/>
      <c r="C8" s="135" t="s">
        <v>17</v>
      </c>
      <c r="D8" s="77" t="s">
        <v>17</v>
      </c>
      <c r="E8" s="150" t="s">
        <v>17</v>
      </c>
      <c r="F8" s="119" t="s">
        <v>40</v>
      </c>
      <c r="G8" s="120">
        <v>0</v>
      </c>
      <c r="H8" s="78" t="s">
        <v>46</v>
      </c>
      <c r="I8" s="79">
        <v>0</v>
      </c>
      <c r="J8" s="121">
        <f t="shared" si="0"/>
        <v>0</v>
      </c>
      <c r="K8" s="122" t="s">
        <v>45</v>
      </c>
      <c r="L8" s="5"/>
    </row>
    <row r="9" spans="1:12" x14ac:dyDescent="0.25">
      <c r="A9" s="137"/>
      <c r="B9" s="134"/>
      <c r="C9" s="134" t="s">
        <v>17</v>
      </c>
      <c r="D9" s="81" t="s">
        <v>17</v>
      </c>
      <c r="E9" s="149" t="s">
        <v>17</v>
      </c>
      <c r="F9" s="128" t="s">
        <v>41</v>
      </c>
      <c r="G9" s="105">
        <v>0</v>
      </c>
      <c r="H9" s="82"/>
      <c r="I9" s="83">
        <v>0</v>
      </c>
      <c r="J9" s="129">
        <f t="shared" si="0"/>
        <v>0</v>
      </c>
      <c r="K9" s="130"/>
      <c r="L9" s="5"/>
    </row>
    <row r="10" spans="1:12" x14ac:dyDescent="0.25">
      <c r="A10" s="137"/>
      <c r="B10" s="136"/>
      <c r="C10" s="136"/>
      <c r="D10" s="99"/>
      <c r="E10" s="153"/>
      <c r="F10" s="124"/>
      <c r="G10" s="125"/>
      <c r="H10" s="100"/>
      <c r="I10" s="101"/>
      <c r="J10" s="126">
        <f>I10*(IF(ISNUMBER(G10),G10,1))</f>
        <v>0</v>
      </c>
      <c r="K10" s="127"/>
      <c r="L10" s="5"/>
    </row>
    <row r="11" spans="1:12" x14ac:dyDescent="0.25">
      <c r="A11" s="137"/>
      <c r="B11" s="135"/>
      <c r="C11" s="135"/>
      <c r="D11" s="77"/>
      <c r="E11" s="150"/>
      <c r="F11" s="119"/>
      <c r="G11" s="120"/>
      <c r="H11" s="78"/>
      <c r="I11" s="79"/>
      <c r="J11" s="121">
        <f>I11*(IF(ISNUMBER(G11),G11,1))</f>
        <v>0</v>
      </c>
      <c r="K11" s="122"/>
      <c r="L11" s="5"/>
    </row>
    <row r="12" spans="1:12" x14ac:dyDescent="0.25">
      <c r="A12" s="137"/>
      <c r="B12" s="134"/>
      <c r="C12" s="134"/>
      <c r="D12" s="81"/>
      <c r="E12" s="149"/>
      <c r="F12" s="128"/>
      <c r="G12" s="105"/>
      <c r="H12" s="82"/>
      <c r="I12" s="83"/>
      <c r="J12" s="129">
        <f>I12*(IF(ISNUMBER(G12),G12,1))</f>
        <v>0</v>
      </c>
      <c r="K12" s="130"/>
      <c r="L12" s="5"/>
    </row>
    <row r="13" spans="1:12" x14ac:dyDescent="0.25">
      <c r="A13" s="138"/>
      <c r="B13" s="136"/>
      <c r="C13" s="136"/>
      <c r="D13" s="99"/>
      <c r="E13" s="153"/>
      <c r="F13" s="124"/>
      <c r="G13" s="125"/>
      <c r="H13" s="100"/>
      <c r="I13" s="101"/>
      <c r="J13" s="126">
        <f>I13*(IF(ISNUMBER(G13),G13,1))</f>
        <v>0</v>
      </c>
      <c r="K13" s="127"/>
      <c r="L13" s="5"/>
    </row>
    <row r="14" spans="1:12" x14ac:dyDescent="0.25">
      <c r="A14" s="138"/>
      <c r="B14" s="136"/>
      <c r="C14" s="136"/>
      <c r="D14" s="99"/>
      <c r="E14" s="153"/>
      <c r="F14" s="124"/>
      <c r="G14" s="125"/>
      <c r="H14" s="100"/>
      <c r="I14" s="101"/>
      <c r="J14" s="126">
        <f t="shared" si="0"/>
        <v>0</v>
      </c>
      <c r="K14" s="127"/>
      <c r="L14" s="5"/>
    </row>
    <row r="15" spans="1:12" x14ac:dyDescent="0.25">
      <c r="A15" s="138"/>
      <c r="B15" s="136"/>
      <c r="C15" s="136"/>
      <c r="D15" s="99"/>
      <c r="E15" s="153"/>
      <c r="F15" s="124"/>
      <c r="G15" s="125"/>
      <c r="H15" s="100"/>
      <c r="I15" s="101"/>
      <c r="J15" s="126">
        <f t="shared" si="0"/>
        <v>0</v>
      </c>
      <c r="K15" s="127"/>
      <c r="L15" s="5"/>
    </row>
    <row r="16" spans="1:12" x14ac:dyDescent="0.25">
      <c r="A16" s="138"/>
      <c r="B16" s="136"/>
      <c r="C16" s="136"/>
      <c r="D16" s="99"/>
      <c r="E16" s="153"/>
      <c r="F16" s="124"/>
      <c r="G16" s="125"/>
      <c r="H16" s="100"/>
      <c r="I16" s="101"/>
      <c r="J16" s="126">
        <f t="shared" si="0"/>
        <v>0</v>
      </c>
      <c r="K16" s="127"/>
      <c r="L16" s="5"/>
    </row>
    <row r="17" spans="1:12" x14ac:dyDescent="0.25">
      <c r="A17" s="139"/>
      <c r="B17" s="136"/>
      <c r="C17" s="136"/>
      <c r="D17" s="99"/>
      <c r="E17" s="153"/>
      <c r="F17" s="124"/>
      <c r="G17" s="125"/>
      <c r="H17" s="100"/>
      <c r="I17" s="101"/>
      <c r="J17" s="126">
        <f t="shared" si="0"/>
        <v>0</v>
      </c>
      <c r="K17" s="127"/>
    </row>
    <row r="18" spans="1:12" hidden="1" x14ac:dyDescent="0.25">
      <c r="A18" s="141" t="s">
        <v>49</v>
      </c>
      <c r="B18" s="136"/>
      <c r="C18" s="136" t="s">
        <v>17</v>
      </c>
      <c r="D18" s="99"/>
      <c r="E18" s="153" t="s">
        <v>17</v>
      </c>
      <c r="F18" s="124"/>
      <c r="G18" s="125"/>
      <c r="H18" s="82"/>
      <c r="I18" s="101"/>
      <c r="J18" s="90">
        <f t="shared" si="0"/>
        <v>0</v>
      </c>
      <c r="K18" s="97"/>
      <c r="L18" s="5"/>
    </row>
    <row r="19" spans="1:12" ht="1.5" customHeight="1" x14ac:dyDescent="0.25">
      <c r="A19" s="25"/>
      <c r="B19" s="117"/>
      <c r="C19" s="370"/>
      <c r="D19" s="142"/>
      <c r="E19" s="370"/>
      <c r="F19" s="118"/>
      <c r="G19" s="143"/>
      <c r="H19" s="144"/>
      <c r="I19" s="146"/>
      <c r="J19" s="145"/>
      <c r="K19" s="140"/>
      <c r="L19" s="5"/>
    </row>
    <row r="20" spans="1:12" x14ac:dyDescent="0.25">
      <c r="A20" s="25"/>
      <c r="B20" s="5"/>
      <c r="C20" s="5"/>
      <c r="D20" s="5"/>
      <c r="E20" s="5"/>
      <c r="F20" s="5"/>
      <c r="G20" s="5"/>
      <c r="H20" s="5"/>
      <c r="I20" s="5"/>
      <c r="J20" s="5"/>
      <c r="K20" s="5"/>
      <c r="L20" s="5"/>
    </row>
    <row r="21" spans="1:12" x14ac:dyDescent="0.25">
      <c r="A21" s="25"/>
      <c r="B21" s="5"/>
      <c r="C21" s="5"/>
      <c r="D21" s="5"/>
      <c r="E21" s="5"/>
      <c r="F21" s="5"/>
      <c r="G21" s="5"/>
      <c r="H21" s="5"/>
      <c r="I21" s="5"/>
      <c r="J21" s="5"/>
      <c r="K21" s="5"/>
      <c r="L21" s="5"/>
    </row>
    <row r="22" spans="1:12" x14ac:dyDescent="0.25">
      <c r="A22" s="25"/>
      <c r="B22" s="5"/>
      <c r="C22" s="5"/>
      <c r="D22" s="5"/>
      <c r="E22" s="5"/>
      <c r="F22" s="5"/>
      <c r="G22" s="5"/>
      <c r="H22" s="5"/>
      <c r="I22" s="5"/>
      <c r="J22" s="5"/>
      <c r="K22" s="5"/>
      <c r="L22" s="5"/>
    </row>
    <row r="23" spans="1:12" x14ac:dyDescent="0.25">
      <c r="B23" s="5"/>
      <c r="C23" s="5"/>
      <c r="D23" s="5"/>
      <c r="E23" s="5"/>
      <c r="F23" s="5"/>
      <c r="G23" s="5"/>
      <c r="H23" s="5"/>
      <c r="I23" s="5"/>
      <c r="J23" s="5"/>
      <c r="K23" s="5"/>
      <c r="L23" s="5"/>
    </row>
    <row r="24" spans="1:12" x14ac:dyDescent="0.25">
      <c r="B24" s="5"/>
      <c r="C24" s="5"/>
      <c r="D24" s="5"/>
      <c r="E24" s="5"/>
      <c r="F24" s="5"/>
      <c r="G24" s="5"/>
      <c r="H24" s="5"/>
      <c r="I24" s="5"/>
      <c r="J24" s="5"/>
      <c r="K24" s="5"/>
      <c r="L24" s="5"/>
    </row>
    <row r="25" spans="1:12" x14ac:dyDescent="0.25">
      <c r="B25" s="5"/>
      <c r="C25" s="5"/>
      <c r="D25" s="5"/>
      <c r="E25" s="5"/>
      <c r="F25" s="5"/>
      <c r="G25" s="5"/>
      <c r="H25" s="5"/>
      <c r="I25" s="5"/>
      <c r="J25" s="5"/>
      <c r="K25" s="5"/>
      <c r="L25" s="5"/>
    </row>
  </sheetData>
  <dataConsolidate/>
  <mergeCells count="1">
    <mergeCell ref="H2:I2"/>
  </mergeCells>
  <dataValidations count="3">
    <dataValidation type="list" allowBlank="1" showInputMessage="1" showErrorMessage="1" sqref="D5:D18">
      <formula1>list_project_tracks</formula1>
    </dataValidation>
    <dataValidation type="list" allowBlank="1" showInputMessage="1" showErrorMessage="1" sqref="C5:C18">
      <formula1>list_Phase</formula1>
    </dataValidation>
    <dataValidation type="list" allowBlank="1" showInputMessage="1" showErrorMessage="1" sqref="E5:E18">
      <formula1>list_Release</formula1>
    </dataValidation>
  </dataValidations>
  <pageMargins left="0.39370078740157499" right="0.39370078740157499" top="0.59055118110236204" bottom="0.59055118110236204" header="0.196850393700787" footer="0.196850393700787"/>
  <pageSetup scale="52" orientation="portrait"/>
  <headerFooter>
    <oddFooter>&amp;L&amp;"Calibri,Regular"&amp;9&amp;D&amp;C&amp;"Calibri,Regular"&amp;9&amp;GSapient Confidential
        &amp;6   Estimation Tool V5.0.0&amp;R&amp;"Calibri,Regular"&amp;9Page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pageSetUpPr fitToPage="1"/>
  </sheetPr>
  <dimension ref="A1:L24"/>
  <sheetViews>
    <sheetView showGridLines="0" workbookViewId="0"/>
  </sheetViews>
  <sheetFormatPr defaultColWidth="8.875" defaultRowHeight="15.75" x14ac:dyDescent="0.25"/>
  <cols>
    <col min="1" max="1" width="1.875" customWidth="1"/>
    <col min="2" max="2" width="12.5" customWidth="1"/>
    <col min="3" max="3" width="10.375" customWidth="1"/>
    <col min="4" max="4" width="9.125" customWidth="1"/>
    <col min="5" max="5" width="8.625" customWidth="1"/>
    <col min="6" max="6" width="7.625" customWidth="1"/>
    <col min="7" max="7" width="9.375" customWidth="1"/>
    <col min="8" max="8" width="21.875" customWidth="1"/>
    <col min="9" max="9" width="12.125" customWidth="1"/>
    <col min="10" max="10" width="18.625" customWidth="1"/>
    <col min="11" max="11" width="28" customWidth="1"/>
    <col min="12" max="12" width="25" customWidth="1"/>
    <col min="13" max="13" width="1.875" customWidth="1"/>
    <col min="14" max="17" width="8.125" customWidth="1"/>
    <col min="18" max="18" width="1.875" customWidth="1"/>
  </cols>
  <sheetData>
    <row r="1" spans="1:12" ht="2.25" customHeight="1" x14ac:dyDescent="0.25"/>
    <row r="2" spans="1:12" ht="49.5" customHeight="1" x14ac:dyDescent="0.25">
      <c r="B2" s="348" t="s">
        <v>50</v>
      </c>
      <c r="D2" s="349" t="str">
        <f>project_headline</f>
        <v>CAI Cycle 7 Stage I QA | Estimation</v>
      </c>
      <c r="E2" s="356"/>
      <c r="G2" s="12"/>
      <c r="I2" s="520" t="s">
        <v>832</v>
      </c>
      <c r="J2" s="521"/>
    </row>
    <row r="3" spans="1:12" ht="15" customHeight="1" x14ac:dyDescent="0.25">
      <c r="B3" s="12"/>
      <c r="C3" s="12"/>
      <c r="D3" s="12"/>
      <c r="E3" s="12"/>
      <c r="F3" s="12"/>
      <c r="G3" s="12"/>
      <c r="I3" s="156" t="s">
        <v>56</v>
      </c>
      <c r="J3" s="157" t="s">
        <v>57</v>
      </c>
    </row>
    <row r="4" spans="1:12" ht="13.5" customHeight="1" x14ac:dyDescent="0.25">
      <c r="B4" s="12"/>
      <c r="C4" s="12"/>
      <c r="D4" s="12"/>
      <c r="E4" s="12"/>
      <c r="F4" s="12"/>
      <c r="G4" s="12"/>
      <c r="I4" s="154">
        <f>SUM(H7:H17)</f>
        <v>0</v>
      </c>
      <c r="J4" s="155">
        <f>SUM(J7:J17)</f>
        <v>0</v>
      </c>
    </row>
    <row r="5" spans="1:12" ht="9" customHeight="1" x14ac:dyDescent="0.25"/>
    <row r="6" spans="1:12" ht="41.25" customHeight="1" x14ac:dyDescent="0.25">
      <c r="B6" s="114" t="s">
        <v>29</v>
      </c>
      <c r="C6" s="371" t="s">
        <v>1190</v>
      </c>
      <c r="D6" s="73" t="s">
        <v>30</v>
      </c>
      <c r="E6" s="369" t="s">
        <v>543</v>
      </c>
      <c r="F6" s="73" t="s">
        <v>51</v>
      </c>
      <c r="G6" s="73" t="s">
        <v>31</v>
      </c>
      <c r="H6" s="73" t="s">
        <v>52</v>
      </c>
      <c r="I6" s="73" t="s">
        <v>53</v>
      </c>
      <c r="J6" s="73" t="s">
        <v>54</v>
      </c>
      <c r="K6" s="71" t="s">
        <v>55</v>
      </c>
    </row>
    <row r="7" spans="1:12" x14ac:dyDescent="0.25">
      <c r="A7" s="137"/>
      <c r="B7" s="136"/>
      <c r="C7" s="136"/>
      <c r="D7" s="99"/>
      <c r="E7" s="99"/>
      <c r="F7" s="100"/>
      <c r="G7" s="125"/>
      <c r="H7" s="125"/>
      <c r="I7" s="152"/>
      <c r="J7" s="96">
        <f>H7*I7*(IF(ISNUMBER(G7),G7,1))</f>
        <v>0</v>
      </c>
      <c r="K7" s="159"/>
      <c r="L7" s="5"/>
    </row>
    <row r="8" spans="1:12" x14ac:dyDescent="0.25">
      <c r="A8" s="137"/>
      <c r="B8" s="134"/>
      <c r="C8" s="134"/>
      <c r="D8" s="149"/>
      <c r="E8" s="149"/>
      <c r="F8" s="82"/>
      <c r="G8" s="105"/>
      <c r="H8" s="105"/>
      <c r="I8" s="151"/>
      <c r="J8" s="90">
        <f>H8*I8*(IF(ISNUMBER(G8),G8,1))</f>
        <v>0</v>
      </c>
      <c r="K8" s="158"/>
      <c r="L8" s="5"/>
    </row>
    <row r="9" spans="1:12" x14ac:dyDescent="0.25">
      <c r="A9" s="137"/>
      <c r="B9" s="136"/>
      <c r="C9" s="136"/>
      <c r="D9" s="153"/>
      <c r="E9" s="153"/>
      <c r="F9" s="100"/>
      <c r="G9" s="125"/>
      <c r="H9" s="125"/>
      <c r="I9" s="152"/>
      <c r="J9" s="90">
        <f t="shared" ref="J9:J17" si="0">H9*I9*(IF(ISNUMBER(G9),G9,1))</f>
        <v>0</v>
      </c>
      <c r="K9" s="158"/>
      <c r="L9" s="5"/>
    </row>
    <row r="10" spans="1:12" x14ac:dyDescent="0.25">
      <c r="A10" s="137"/>
      <c r="B10" s="136"/>
      <c r="C10" s="136"/>
      <c r="D10" s="153"/>
      <c r="E10" s="153"/>
      <c r="F10" s="100"/>
      <c r="G10" s="125"/>
      <c r="H10" s="125"/>
      <c r="I10" s="151"/>
      <c r="J10" s="90">
        <f t="shared" si="0"/>
        <v>0</v>
      </c>
      <c r="K10" s="158"/>
      <c r="L10" s="5"/>
    </row>
    <row r="11" spans="1:12" x14ac:dyDescent="0.25">
      <c r="A11" s="137"/>
      <c r="B11" s="136"/>
      <c r="C11" s="136"/>
      <c r="D11" s="153"/>
      <c r="E11" s="153"/>
      <c r="F11" s="100"/>
      <c r="G11" s="125"/>
      <c r="H11" s="125"/>
      <c r="I11" s="151"/>
      <c r="J11" s="90">
        <f t="shared" si="0"/>
        <v>0</v>
      </c>
      <c r="K11" s="158"/>
      <c r="L11" s="5"/>
    </row>
    <row r="12" spans="1:12" x14ac:dyDescent="0.25">
      <c r="A12" s="137"/>
      <c r="B12" s="136"/>
      <c r="C12" s="136"/>
      <c r="D12" s="153"/>
      <c r="E12" s="150"/>
      <c r="F12" s="78"/>
      <c r="G12" s="120"/>
      <c r="H12" s="120"/>
      <c r="I12" s="151"/>
      <c r="J12" s="90">
        <f>H12*I12*(IF(ISNUMBER(G12),G12,1))</f>
        <v>0</v>
      </c>
      <c r="K12" s="158"/>
      <c r="L12" s="5"/>
    </row>
    <row r="13" spans="1:12" x14ac:dyDescent="0.25">
      <c r="A13" s="137"/>
      <c r="B13" s="134"/>
      <c r="C13" s="134"/>
      <c r="D13" s="81"/>
      <c r="E13" s="81"/>
      <c r="F13" s="82"/>
      <c r="G13" s="105"/>
      <c r="H13" s="105"/>
      <c r="I13" s="151"/>
      <c r="J13" s="90">
        <f t="shared" si="0"/>
        <v>0</v>
      </c>
      <c r="K13" s="158"/>
      <c r="L13" s="5"/>
    </row>
    <row r="14" spans="1:12" x14ac:dyDescent="0.25">
      <c r="A14" s="137"/>
      <c r="B14" s="136"/>
      <c r="C14" s="136"/>
      <c r="D14" s="99"/>
      <c r="E14" s="99"/>
      <c r="F14" s="100"/>
      <c r="G14" s="125"/>
      <c r="H14" s="125"/>
      <c r="I14" s="152"/>
      <c r="J14" s="90">
        <f t="shared" si="0"/>
        <v>0</v>
      </c>
      <c r="K14" s="158"/>
      <c r="L14" s="5"/>
    </row>
    <row r="15" spans="1:12" x14ac:dyDescent="0.25">
      <c r="A15" s="137"/>
      <c r="B15" s="135"/>
      <c r="C15" s="135"/>
      <c r="D15" s="150"/>
      <c r="E15" s="150"/>
      <c r="F15" s="78"/>
      <c r="G15" s="120"/>
      <c r="H15" s="120"/>
      <c r="I15" s="151"/>
      <c r="J15" s="90">
        <f t="shared" si="0"/>
        <v>0</v>
      </c>
      <c r="K15" s="158"/>
      <c r="L15" s="5"/>
    </row>
    <row r="16" spans="1:12" x14ac:dyDescent="0.25">
      <c r="A16" s="56"/>
      <c r="B16" s="134"/>
      <c r="C16" s="134"/>
      <c r="D16" s="149"/>
      <c r="E16" s="149"/>
      <c r="F16" s="82"/>
      <c r="G16" s="105"/>
      <c r="H16" s="105"/>
      <c r="I16" s="151"/>
      <c r="J16" s="90">
        <f t="shared" si="0"/>
        <v>0</v>
      </c>
      <c r="K16" s="158"/>
    </row>
    <row r="17" spans="1:12" hidden="1" x14ac:dyDescent="0.25">
      <c r="A17" s="24" t="s">
        <v>49</v>
      </c>
      <c r="B17" s="80"/>
      <c r="C17" s="134"/>
      <c r="D17" s="149"/>
      <c r="E17" s="149"/>
      <c r="F17" s="82"/>
      <c r="G17" s="105"/>
      <c r="H17" s="105"/>
      <c r="I17" s="151"/>
      <c r="J17" s="90">
        <f t="shared" si="0"/>
        <v>0</v>
      </c>
      <c r="K17" s="91"/>
      <c r="L17" s="5"/>
    </row>
    <row r="18" spans="1:12" ht="1.5" customHeight="1" x14ac:dyDescent="0.25">
      <c r="B18" s="8"/>
      <c r="C18" s="9"/>
      <c r="D18" s="9"/>
      <c r="E18" s="9"/>
      <c r="F18" s="21"/>
      <c r="G18" s="47"/>
      <c r="H18" s="47"/>
      <c r="I18" s="48"/>
      <c r="J18" s="46"/>
      <c r="K18" s="23"/>
      <c r="L18" s="5"/>
    </row>
    <row r="19" spans="1:12" x14ac:dyDescent="0.25">
      <c r="B19" s="5"/>
      <c r="C19" s="5"/>
      <c r="D19" s="5"/>
      <c r="E19" s="5"/>
      <c r="F19" s="5"/>
      <c r="G19" s="5"/>
      <c r="H19" s="5"/>
      <c r="I19" s="5"/>
      <c r="J19" s="5"/>
      <c r="K19" s="5"/>
      <c r="L19" s="5"/>
    </row>
    <row r="20" spans="1:12" x14ac:dyDescent="0.25">
      <c r="B20" s="5"/>
      <c r="C20" s="5"/>
      <c r="D20" s="5"/>
      <c r="E20" s="5"/>
      <c r="F20" s="5"/>
      <c r="G20" s="5"/>
      <c r="H20" s="5"/>
      <c r="I20" s="5"/>
      <c r="J20" s="5"/>
      <c r="K20" s="5"/>
      <c r="L20" s="5"/>
    </row>
    <row r="21" spans="1:12" x14ac:dyDescent="0.25">
      <c r="B21" s="5"/>
      <c r="C21" s="5"/>
      <c r="D21" s="5"/>
      <c r="E21" s="5"/>
      <c r="F21" s="5"/>
      <c r="G21" s="5"/>
      <c r="H21" s="5"/>
      <c r="I21" s="5"/>
      <c r="J21" s="5"/>
      <c r="K21" s="5"/>
      <c r="L21" s="5"/>
    </row>
    <row r="22" spans="1:12" x14ac:dyDescent="0.25">
      <c r="B22" s="5"/>
      <c r="C22" s="5"/>
      <c r="D22" s="5"/>
      <c r="E22" s="5"/>
      <c r="F22" s="5"/>
      <c r="G22" s="5"/>
      <c r="H22" s="5"/>
      <c r="I22" s="5"/>
      <c r="J22" s="5"/>
      <c r="K22" s="5"/>
      <c r="L22" s="5"/>
    </row>
    <row r="23" spans="1:12" x14ac:dyDescent="0.25">
      <c r="B23" s="5"/>
      <c r="C23" s="5"/>
      <c r="D23" s="5"/>
      <c r="E23" s="5"/>
      <c r="F23" s="5"/>
      <c r="G23" s="5"/>
      <c r="H23" s="5"/>
      <c r="I23" s="5"/>
      <c r="J23" s="5"/>
      <c r="K23" s="5"/>
      <c r="L23" s="5"/>
    </row>
    <row r="24" spans="1:12" x14ac:dyDescent="0.25">
      <c r="B24" s="5"/>
      <c r="C24" s="5"/>
      <c r="D24" s="5"/>
      <c r="E24" s="5"/>
      <c r="F24" s="5"/>
      <c r="G24" s="5"/>
      <c r="H24" s="5"/>
      <c r="I24" s="5"/>
      <c r="J24" s="5"/>
      <c r="K24" s="5"/>
      <c r="L24" s="5"/>
    </row>
  </sheetData>
  <dataConsolidate/>
  <mergeCells count="1">
    <mergeCell ref="I2:J2"/>
  </mergeCells>
  <dataValidations count="4">
    <dataValidation type="list" allowBlank="1" showInputMessage="1" showErrorMessage="1" sqref="D7:D17">
      <formula1>list_project_tracks</formula1>
    </dataValidation>
    <dataValidation type="list" allowBlank="1" showInputMessage="1" showErrorMessage="1" sqref="B7:B17">
      <formula1>list_risk_categories</formula1>
    </dataValidation>
    <dataValidation type="list" allowBlank="1" showInputMessage="1" showErrorMessage="1" sqref="C7:C17">
      <formula1>list_Phase</formula1>
    </dataValidation>
    <dataValidation type="list" allowBlank="1" showInputMessage="1" showErrorMessage="1" sqref="E7:E17">
      <formula1>list_Release</formula1>
    </dataValidation>
  </dataValidations>
  <pageMargins left="0.39370078740157499" right="0.39370078740157499" top="0.59055118110236204" bottom="0.59055118110236204" header="0.196850393700787" footer="0.196850393700787"/>
  <pageSetup scale="49" orientation="portrait"/>
  <headerFooter>
    <oddFooter>&amp;L&amp;"Calibri,Regular"&amp;9&amp;D&amp;C&amp;"Calibri,Regular"&amp;9&amp;GSapient Confidential
    &amp;6       Estimation Tool V5.0.0&amp;R&amp;"Calibri,Regular"&amp;9Page &amp;N</oddFooter>
  </headerFooter>
  <drawing r:id="rId1"/>
  <legacyDrawing r:id="rId2"/>
  <legacyDrawingHF r:id="rId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pageSetUpPr fitToPage="1"/>
  </sheetPr>
  <dimension ref="A1:AJ45"/>
  <sheetViews>
    <sheetView showGridLines="0" workbookViewId="0"/>
  </sheetViews>
  <sheetFormatPr defaultColWidth="8.875" defaultRowHeight="15.75" outlineLevelCol="1" x14ac:dyDescent="0.25"/>
  <cols>
    <col min="1" max="1" width="1.125" style="25" customWidth="1"/>
    <col min="2" max="2" width="1.875" style="25" customWidth="1"/>
    <col min="3" max="3" width="19" customWidth="1"/>
    <col min="4" max="4" width="14" customWidth="1"/>
    <col min="5" max="5" width="16.25" style="11" customWidth="1"/>
    <col min="6" max="6" width="11.875" style="54" customWidth="1"/>
    <col min="7" max="7" width="13.5" style="54" customWidth="1"/>
    <col min="8" max="8" width="12.875" customWidth="1"/>
    <col min="9" max="9" width="11.625" customWidth="1"/>
    <col min="10" max="10" width="7.625" bestFit="1" customWidth="1"/>
    <col min="11" max="11" width="7" customWidth="1"/>
    <col min="12" max="29" width="4.625" customWidth="1"/>
    <col min="30" max="31" width="7.5" customWidth="1"/>
    <col min="32" max="32" width="12.125" customWidth="1" outlineLevel="1"/>
    <col min="33" max="33" width="5.125" style="52" customWidth="1" outlineLevel="1"/>
    <col min="34" max="34" width="5" style="52" customWidth="1" outlineLevel="1"/>
    <col min="35" max="35" width="8.125" customWidth="1" outlineLevel="1"/>
    <col min="36" max="36" width="30.625" style="11" customWidth="1" outlineLevel="1"/>
    <col min="37" max="37" width="4.125" customWidth="1"/>
  </cols>
  <sheetData>
    <row r="1" spans="1:36" ht="49.5" customHeight="1" x14ac:dyDescent="0.25">
      <c r="A1" s="357"/>
      <c r="B1" s="348" t="s">
        <v>83</v>
      </c>
      <c r="C1" s="4"/>
      <c r="D1" s="349" t="str">
        <f>project_headline</f>
        <v>CAI Cycle 7 Stage I QA | Estimation</v>
      </c>
      <c r="J1" s="468"/>
    </row>
    <row r="2" spans="1:36" ht="25.5" customHeight="1" x14ac:dyDescent="0.25">
      <c r="B2" s="508" t="s">
        <v>84</v>
      </c>
      <c r="C2" s="522"/>
      <c r="D2" s="469">
        <v>41645</v>
      </c>
      <c r="E2" s="465" t="str">
        <f>IF(WEEKDAY(D2)&lt;&gt;2,"ERROR: Project start date has to be a Monday",CHOOSE(WEEKDAY(D2,2),"Monday","Tuesday","Wednesday","Thursday","Friday","Saturday","Sunday"))</f>
        <v>Monday</v>
      </c>
    </row>
    <row r="3" spans="1:36" ht="24" customHeight="1" x14ac:dyDescent="0.25">
      <c r="B3" s="523" t="s">
        <v>85</v>
      </c>
      <c r="C3" s="524"/>
      <c r="D3" s="467">
        <v>41649</v>
      </c>
      <c r="E3" s="466" t="str">
        <f>IF(WEEKDAY(D3)&lt;&gt;6,"ERROR: Project end date has to be a Friday",CHOOSE(WEEKDAY(D3,2),"Monday","Tuesday","Wednesday","Thursday","Friday","Saturday","Sunday"))</f>
        <v>Friday</v>
      </c>
    </row>
    <row r="4" spans="1:36" x14ac:dyDescent="0.25">
      <c r="B4" s="508" t="s">
        <v>86</v>
      </c>
      <c r="C4" s="522"/>
      <c r="D4" s="250">
        <f>IF(AND(ISBLANK(D2),ISBLANK(D3)),,(DAYS360(D2,D3)+3)/7)</f>
        <v>1</v>
      </c>
      <c r="E4" s="248" t="s">
        <v>93</v>
      </c>
    </row>
    <row r="5" spans="1:36" x14ac:dyDescent="0.25">
      <c r="B5" s="518" t="s">
        <v>98</v>
      </c>
      <c r="C5" s="525"/>
      <c r="D5" s="251">
        <f>NETWORKDAYS(D2,D3)</f>
        <v>5</v>
      </c>
      <c r="E5" s="249" t="s">
        <v>97</v>
      </c>
    </row>
    <row r="6" spans="1:36" ht="3.95" customHeight="1" x14ac:dyDescent="0.25">
      <c r="B6"/>
    </row>
    <row r="7" spans="1:36" ht="12.95" customHeight="1" x14ac:dyDescent="0.25">
      <c r="A7" s="139"/>
      <c r="B7" s="131"/>
      <c r="C7" s="132"/>
      <c r="D7" s="132"/>
      <c r="E7" s="132"/>
      <c r="F7" s="132"/>
      <c r="G7" s="383"/>
      <c r="H7" s="379"/>
      <c r="I7" s="378"/>
      <c r="J7" s="377">
        <v>1</v>
      </c>
      <c r="K7" s="116">
        <f>J7+1</f>
        <v>2</v>
      </c>
      <c r="L7" s="116">
        <f t="shared" ref="L7:AC7" si="0">K7+1</f>
        <v>3</v>
      </c>
      <c r="M7" s="116">
        <f t="shared" si="0"/>
        <v>4</v>
      </c>
      <c r="N7" s="116">
        <f t="shared" si="0"/>
        <v>5</v>
      </c>
      <c r="O7" s="116">
        <f t="shared" si="0"/>
        <v>6</v>
      </c>
      <c r="P7" s="116">
        <f t="shared" si="0"/>
        <v>7</v>
      </c>
      <c r="Q7" s="116">
        <f t="shared" si="0"/>
        <v>8</v>
      </c>
      <c r="R7" s="116">
        <f t="shared" si="0"/>
        <v>9</v>
      </c>
      <c r="S7" s="116">
        <f t="shared" si="0"/>
        <v>10</v>
      </c>
      <c r="T7" s="116">
        <f t="shared" si="0"/>
        <v>11</v>
      </c>
      <c r="U7" s="116">
        <f t="shared" si="0"/>
        <v>12</v>
      </c>
      <c r="V7" s="116">
        <f t="shared" si="0"/>
        <v>13</v>
      </c>
      <c r="W7" s="116">
        <f t="shared" si="0"/>
        <v>14</v>
      </c>
      <c r="X7" s="116">
        <f t="shared" si="0"/>
        <v>15</v>
      </c>
      <c r="Y7" s="116">
        <f t="shared" si="0"/>
        <v>16</v>
      </c>
      <c r="Z7" s="116">
        <f t="shared" si="0"/>
        <v>17</v>
      </c>
      <c r="AA7" s="116">
        <f t="shared" si="0"/>
        <v>18</v>
      </c>
      <c r="AB7" s="116">
        <f t="shared" si="0"/>
        <v>19</v>
      </c>
      <c r="AC7" s="116">
        <f t="shared" si="0"/>
        <v>20</v>
      </c>
      <c r="AD7" s="267"/>
      <c r="AE7" s="255"/>
      <c r="AF7" s="526" t="s">
        <v>814</v>
      </c>
      <c r="AG7" s="527"/>
      <c r="AH7" s="527"/>
      <c r="AI7" s="527"/>
      <c r="AJ7" s="528"/>
    </row>
    <row r="8" spans="1:36" ht="56.1" customHeight="1" x14ac:dyDescent="0.25">
      <c r="B8" s="252" t="s">
        <v>67</v>
      </c>
      <c r="C8" s="253" t="s">
        <v>87</v>
      </c>
      <c r="D8" s="253" t="s">
        <v>89</v>
      </c>
      <c r="E8" s="481" t="s">
        <v>90</v>
      </c>
      <c r="F8" s="481" t="s">
        <v>91</v>
      </c>
      <c r="G8" s="482" t="s">
        <v>1190</v>
      </c>
      <c r="H8" s="483" t="s">
        <v>30</v>
      </c>
      <c r="I8" s="484" t="s">
        <v>543</v>
      </c>
      <c r="J8" s="266">
        <f>D2</f>
        <v>41645</v>
      </c>
      <c r="K8" s="254">
        <f>J8+7</f>
        <v>41652</v>
      </c>
      <c r="L8" s="254">
        <f t="shared" ref="L8:AC8" si="1">K8+7</f>
        <v>41659</v>
      </c>
      <c r="M8" s="254">
        <f t="shared" si="1"/>
        <v>41666</v>
      </c>
      <c r="N8" s="254">
        <f t="shared" si="1"/>
        <v>41673</v>
      </c>
      <c r="O8" s="254">
        <f t="shared" si="1"/>
        <v>41680</v>
      </c>
      <c r="P8" s="254">
        <f t="shared" si="1"/>
        <v>41687</v>
      </c>
      <c r="Q8" s="254">
        <f t="shared" si="1"/>
        <v>41694</v>
      </c>
      <c r="R8" s="254">
        <f t="shared" si="1"/>
        <v>41701</v>
      </c>
      <c r="S8" s="254">
        <f t="shared" si="1"/>
        <v>41708</v>
      </c>
      <c r="T8" s="254">
        <f t="shared" si="1"/>
        <v>41715</v>
      </c>
      <c r="U8" s="254">
        <f t="shared" si="1"/>
        <v>41722</v>
      </c>
      <c r="V8" s="254">
        <f t="shared" si="1"/>
        <v>41729</v>
      </c>
      <c r="W8" s="254">
        <f t="shared" si="1"/>
        <v>41736</v>
      </c>
      <c r="X8" s="254">
        <f t="shared" si="1"/>
        <v>41743</v>
      </c>
      <c r="Y8" s="254">
        <f t="shared" si="1"/>
        <v>41750</v>
      </c>
      <c r="Z8" s="254">
        <f t="shared" si="1"/>
        <v>41757</v>
      </c>
      <c r="AA8" s="254">
        <f t="shared" si="1"/>
        <v>41764</v>
      </c>
      <c r="AB8" s="254">
        <f t="shared" si="1"/>
        <v>41771</v>
      </c>
      <c r="AC8" s="254">
        <f t="shared" si="1"/>
        <v>41778</v>
      </c>
      <c r="AD8" s="268" t="s">
        <v>831</v>
      </c>
      <c r="AE8" s="256" t="s">
        <v>830</v>
      </c>
      <c r="AF8" s="343" t="s">
        <v>828</v>
      </c>
      <c r="AG8" s="246" t="s">
        <v>815</v>
      </c>
      <c r="AH8" s="246" t="s">
        <v>829</v>
      </c>
      <c r="AI8" s="246" t="s">
        <v>816</v>
      </c>
      <c r="AJ8" s="247" t="s">
        <v>817</v>
      </c>
    </row>
    <row r="9" spans="1:36" ht="0.75" customHeight="1" x14ac:dyDescent="0.25">
      <c r="A9" s="26"/>
      <c r="B9" s="80"/>
      <c r="C9" s="106"/>
      <c r="D9" s="81"/>
      <c r="E9" s="100"/>
      <c r="F9" s="168"/>
      <c r="G9" s="478"/>
      <c r="H9" s="479"/>
      <c r="I9" s="480"/>
      <c r="J9" s="187"/>
      <c r="K9" s="197"/>
      <c r="L9" s="187"/>
      <c r="M9" s="188"/>
      <c r="N9" s="326"/>
      <c r="O9" s="327"/>
      <c r="P9" s="328"/>
      <c r="Q9" s="329"/>
      <c r="R9" s="189"/>
      <c r="S9" s="190"/>
      <c r="T9" s="194"/>
      <c r="U9" s="191"/>
      <c r="V9" s="194"/>
      <c r="W9" s="194"/>
      <c r="X9" s="194"/>
      <c r="Y9" s="194"/>
      <c r="Z9" s="194"/>
      <c r="AA9" s="194"/>
      <c r="AB9" s="194"/>
      <c r="AC9" s="194"/>
      <c r="AD9" s="170">
        <f t="shared" ref="AD9:AD21" ca="1" si="2">SUM(INDIRECT(ADDRESS(ROW(),CELL("col",staffing_column_before_weeks)+1) &amp; ":" &amp; ADDRESS(ROW(),CELL("col", staffing_column_after_weeks)-1)))*5</f>
        <v>0</v>
      </c>
      <c r="AE9" s="171">
        <f ca="1">IF(staffing_planned_net_work_days=0,0,AD9/staffing_planned_net_work_days)</f>
        <v>0</v>
      </c>
      <c r="AF9" s="347"/>
      <c r="AG9" s="176"/>
      <c r="AH9" s="177"/>
      <c r="AI9" s="178">
        <f ca="1">IF(OR(AG9="",AH9=""),0,PRODUCT(INDIRECT(ADDRESS(ROW(),CELL("col",staffing_column_Rate)+1) &amp; ":" &amp; ADDRESS(ROW(),CELL("col", staffing_column_HrsPerDay)-1)), INDIRECT(ADDRESS(ROW(),CELL("col",staffing_column_after_weeks)))))</f>
        <v>0</v>
      </c>
      <c r="AJ9" s="179"/>
    </row>
    <row r="10" spans="1:36" ht="27" customHeight="1" x14ac:dyDescent="0.25">
      <c r="A10" s="26"/>
      <c r="B10" s="226" t="s">
        <v>92</v>
      </c>
      <c r="C10" s="227"/>
      <c r="D10" s="228"/>
      <c r="E10" s="229"/>
      <c r="F10" s="230"/>
      <c r="G10" s="475"/>
      <c r="H10" s="476"/>
      <c r="I10" s="476"/>
      <c r="J10" s="228"/>
      <c r="K10" s="228"/>
      <c r="L10" s="228"/>
      <c r="M10" s="228"/>
      <c r="N10" s="325"/>
      <c r="O10" s="325"/>
      <c r="P10" s="325"/>
      <c r="Q10" s="325"/>
      <c r="R10" s="228"/>
      <c r="S10" s="228"/>
      <c r="T10" s="228"/>
      <c r="U10" s="228"/>
      <c r="V10" s="228"/>
      <c r="W10" s="228"/>
      <c r="X10" s="228"/>
      <c r="Y10" s="228"/>
      <c r="Z10" s="228"/>
      <c r="AA10" s="228"/>
      <c r="AB10" s="228"/>
      <c r="AC10" s="228"/>
      <c r="AD10" s="228"/>
      <c r="AE10" s="231"/>
      <c r="AF10" s="344"/>
      <c r="AG10" s="232"/>
      <c r="AH10" s="232"/>
      <c r="AI10" s="231"/>
      <c r="AJ10" s="231"/>
    </row>
    <row r="11" spans="1:36" x14ac:dyDescent="0.25">
      <c r="A11" s="26"/>
      <c r="B11" s="104"/>
      <c r="C11" s="133"/>
      <c r="D11" s="99"/>
      <c r="E11" s="100"/>
      <c r="F11" s="168"/>
      <c r="G11" s="472"/>
      <c r="H11" s="473"/>
      <c r="I11" s="474"/>
      <c r="J11" s="196"/>
      <c r="K11" s="197"/>
      <c r="L11" s="187"/>
      <c r="M11" s="188"/>
      <c r="N11" s="186"/>
      <c r="O11" s="197"/>
      <c r="P11" s="187"/>
      <c r="Q11" s="188"/>
      <c r="R11" s="186"/>
      <c r="S11" s="187"/>
      <c r="T11" s="197"/>
      <c r="U11" s="188"/>
      <c r="V11" s="197"/>
      <c r="W11" s="197"/>
      <c r="X11" s="197"/>
      <c r="Y11" s="197"/>
      <c r="Z11" s="197"/>
      <c r="AA11" s="197"/>
      <c r="AB11" s="197"/>
      <c r="AC11" s="197"/>
      <c r="AD11" s="331">
        <f t="shared" ca="1" si="2"/>
        <v>0</v>
      </c>
      <c r="AE11" s="224">
        <f t="shared" ref="AE11:AE21" ca="1" si="3">IF(staffing_planned_net_work_days=0,0,AD11/staffing_planned_net_work_days)</f>
        <v>0</v>
      </c>
      <c r="AF11" s="208"/>
      <c r="AG11" s="176"/>
      <c r="AH11" s="177"/>
      <c r="AI11" s="225">
        <f t="shared" ref="AI11:AI21" ca="1" si="4">IF(OR(AG11="",AH11=""),0,PRODUCT(INDIRECT(ADDRESS(ROW(),CELL("col",staffing_column_Rate)+1) &amp; ":" &amp; ADDRESS(ROW(),CELL("col", staffing_column_HrsPerDay)-1)), INDIRECT(ADDRESS(ROW(),CELL("col",staffing_column_after_weeks)))))</f>
        <v>0</v>
      </c>
      <c r="AJ11" s="127"/>
    </row>
    <row r="12" spans="1:36" x14ac:dyDescent="0.25">
      <c r="A12" s="26"/>
      <c r="B12" s="80"/>
      <c r="C12" s="133"/>
      <c r="D12" s="99"/>
      <c r="E12" s="100"/>
      <c r="F12" s="168"/>
      <c r="G12" s="472"/>
      <c r="H12" s="473"/>
      <c r="I12" s="474"/>
      <c r="J12" s="196"/>
      <c r="K12" s="197"/>
      <c r="L12" s="187"/>
      <c r="M12" s="188"/>
      <c r="N12" s="180"/>
      <c r="O12" s="205"/>
      <c r="P12" s="185"/>
      <c r="Q12" s="18"/>
      <c r="R12" s="189"/>
      <c r="S12" s="190"/>
      <c r="T12" s="194"/>
      <c r="U12" s="191"/>
      <c r="V12" s="194"/>
      <c r="W12" s="194"/>
      <c r="X12" s="194"/>
      <c r="Y12" s="194"/>
      <c r="Z12" s="194"/>
      <c r="AA12" s="194"/>
      <c r="AB12" s="194"/>
      <c r="AC12" s="194"/>
      <c r="AD12" s="193">
        <f t="shared" ca="1" si="2"/>
        <v>0</v>
      </c>
      <c r="AE12" s="171">
        <f t="shared" ca="1" si="3"/>
        <v>0</v>
      </c>
      <c r="AF12" s="179"/>
      <c r="AG12" s="176"/>
      <c r="AH12" s="177"/>
      <c r="AI12" s="178">
        <f t="shared" ca="1" si="4"/>
        <v>0</v>
      </c>
      <c r="AJ12" s="179"/>
    </row>
    <row r="13" spans="1:36" x14ac:dyDescent="0.25">
      <c r="A13" s="26"/>
      <c r="B13" s="80"/>
      <c r="C13" s="133"/>
      <c r="D13" s="99"/>
      <c r="E13" s="100"/>
      <c r="F13" s="168"/>
      <c r="G13" s="472"/>
      <c r="H13" s="473"/>
      <c r="I13" s="474"/>
      <c r="J13" s="196"/>
      <c r="K13" s="197"/>
      <c r="L13" s="187"/>
      <c r="M13" s="192"/>
      <c r="N13" s="203"/>
      <c r="O13" s="203"/>
      <c r="P13" s="182"/>
      <c r="Q13" s="182"/>
      <c r="R13" s="194"/>
      <c r="S13" s="190"/>
      <c r="T13" s="194"/>
      <c r="U13" s="191"/>
      <c r="V13" s="194"/>
      <c r="W13" s="194"/>
      <c r="X13" s="194"/>
      <c r="Y13" s="194"/>
      <c r="Z13" s="194"/>
      <c r="AA13" s="194"/>
      <c r="AB13" s="194"/>
      <c r="AC13" s="194"/>
      <c r="AD13" s="193">
        <f t="shared" ca="1" si="2"/>
        <v>0</v>
      </c>
      <c r="AE13" s="171">
        <f t="shared" ca="1" si="3"/>
        <v>0</v>
      </c>
      <c r="AF13" s="179"/>
      <c r="AG13" s="176"/>
      <c r="AH13" s="177"/>
      <c r="AI13" s="178">
        <f t="shared" ca="1" si="4"/>
        <v>0</v>
      </c>
      <c r="AJ13" s="179"/>
    </row>
    <row r="14" spans="1:36" ht="15.75" customHeight="1" x14ac:dyDescent="0.25">
      <c r="A14" s="26"/>
      <c r="B14" s="330"/>
      <c r="C14" s="133"/>
      <c r="D14" s="99"/>
      <c r="E14" s="100"/>
      <c r="F14" s="168"/>
      <c r="G14" s="472"/>
      <c r="H14" s="473"/>
      <c r="I14" s="474"/>
      <c r="J14" s="196"/>
      <c r="K14" s="197"/>
      <c r="L14" s="187"/>
      <c r="M14" s="188"/>
      <c r="N14" s="326"/>
      <c r="O14" s="327"/>
      <c r="P14" s="328"/>
      <c r="Q14" s="329"/>
      <c r="R14" s="189"/>
      <c r="S14" s="190"/>
      <c r="T14" s="194"/>
      <c r="U14" s="191"/>
      <c r="V14" s="194"/>
      <c r="W14" s="194"/>
      <c r="X14" s="194"/>
      <c r="Y14" s="194"/>
      <c r="Z14" s="194"/>
      <c r="AA14" s="194"/>
      <c r="AB14" s="194"/>
      <c r="AC14" s="194"/>
      <c r="AD14" s="193">
        <f t="shared" ca="1" si="2"/>
        <v>0</v>
      </c>
      <c r="AE14" s="171">
        <f ca="1">IF(staffing_planned_net_work_days=0,0,AD14/staffing_planned_net_work_days)</f>
        <v>0</v>
      </c>
      <c r="AF14" s="179"/>
      <c r="AG14" s="176"/>
      <c r="AH14" s="177"/>
      <c r="AI14" s="178">
        <f ca="1">IF(OR(AG14="",AH14=""),0,PRODUCT(INDIRECT(ADDRESS(ROW(),CELL("col",staffing_column_Rate)+1) &amp; ":" &amp; ADDRESS(ROW(),CELL("col", staffing_column_HrsPerDay)-1)), INDIRECT(ADDRESS(ROW(),CELL("col",staffing_column_after_weeks)))))</f>
        <v>0</v>
      </c>
      <c r="AJ14" s="179"/>
    </row>
    <row r="15" spans="1:36" x14ac:dyDescent="0.25">
      <c r="A15" s="26"/>
      <c r="B15" s="76"/>
      <c r="C15" s="133"/>
      <c r="D15" s="99"/>
      <c r="E15" s="100"/>
      <c r="F15" s="168"/>
      <c r="G15" s="472"/>
      <c r="H15" s="473"/>
      <c r="I15" s="474"/>
      <c r="J15" s="196"/>
      <c r="K15" s="197"/>
      <c r="L15" s="187"/>
      <c r="M15" s="192"/>
      <c r="N15" s="194"/>
      <c r="O15" s="194"/>
      <c r="P15" s="190"/>
      <c r="Q15" s="191"/>
      <c r="R15" s="186"/>
      <c r="S15" s="194"/>
      <c r="T15" s="194"/>
      <c r="U15" s="191"/>
      <c r="V15" s="194"/>
      <c r="W15" s="194"/>
      <c r="X15" s="194"/>
      <c r="Y15" s="194"/>
      <c r="Z15" s="194"/>
      <c r="AA15" s="194"/>
      <c r="AB15" s="194"/>
      <c r="AC15" s="194"/>
      <c r="AD15" s="331">
        <f t="shared" ca="1" si="2"/>
        <v>0</v>
      </c>
      <c r="AE15" s="171">
        <f t="shared" ca="1" si="3"/>
        <v>0</v>
      </c>
      <c r="AF15" s="179"/>
      <c r="AG15" s="176"/>
      <c r="AH15" s="177"/>
      <c r="AI15" s="178">
        <f t="shared" ca="1" si="4"/>
        <v>0</v>
      </c>
      <c r="AJ15" s="127"/>
    </row>
    <row r="16" spans="1:36" x14ac:dyDescent="0.25">
      <c r="A16" s="26"/>
      <c r="B16" s="123"/>
      <c r="C16" s="133"/>
      <c r="D16" s="99"/>
      <c r="E16" s="100"/>
      <c r="F16" s="168"/>
      <c r="G16" s="389"/>
      <c r="H16" s="470"/>
      <c r="I16" s="471"/>
      <c r="J16" s="196"/>
      <c r="K16" s="197"/>
      <c r="L16" s="187"/>
      <c r="M16" s="188"/>
      <c r="N16" s="180"/>
      <c r="O16" s="205"/>
      <c r="P16" s="185"/>
      <c r="Q16" s="18"/>
      <c r="R16" s="180"/>
      <c r="S16" s="185"/>
      <c r="T16" s="205"/>
      <c r="U16" s="204"/>
      <c r="V16" s="205"/>
      <c r="W16" s="205"/>
      <c r="X16" s="205"/>
      <c r="Y16" s="205"/>
      <c r="Z16" s="205"/>
      <c r="AA16" s="205"/>
      <c r="AB16" s="205"/>
      <c r="AC16" s="205"/>
      <c r="AD16" s="193">
        <f t="shared" ca="1" si="2"/>
        <v>0</v>
      </c>
      <c r="AE16" s="171">
        <f t="shared" ca="1" si="3"/>
        <v>0</v>
      </c>
      <c r="AF16" s="179"/>
      <c r="AG16" s="176"/>
      <c r="AH16" s="177"/>
      <c r="AI16" s="178">
        <f t="shared" ca="1" si="4"/>
        <v>0</v>
      </c>
      <c r="AJ16" s="179"/>
    </row>
    <row r="17" spans="1:36" x14ac:dyDescent="0.25">
      <c r="A17" s="26"/>
      <c r="B17" s="104"/>
      <c r="C17" s="133"/>
      <c r="D17" s="99"/>
      <c r="E17" s="100"/>
      <c r="F17" s="168"/>
      <c r="G17" s="389"/>
      <c r="H17" s="446"/>
      <c r="I17" s="447"/>
      <c r="J17" s="196"/>
      <c r="K17" s="197"/>
      <c r="L17" s="190"/>
      <c r="M17" s="192"/>
      <c r="N17" s="194"/>
      <c r="O17" s="194"/>
      <c r="P17" s="190"/>
      <c r="Q17" s="191"/>
      <c r="R17" s="189"/>
      <c r="S17" s="190"/>
      <c r="T17" s="194"/>
      <c r="U17" s="204"/>
      <c r="V17" s="194"/>
      <c r="W17" s="194"/>
      <c r="X17" s="194"/>
      <c r="Y17" s="194"/>
      <c r="Z17" s="194"/>
      <c r="AA17" s="194"/>
      <c r="AB17" s="194"/>
      <c r="AC17" s="194"/>
      <c r="AD17" s="193">
        <f t="shared" ca="1" si="2"/>
        <v>0</v>
      </c>
      <c r="AE17" s="171">
        <f t="shared" ca="1" si="3"/>
        <v>0</v>
      </c>
      <c r="AF17" s="179"/>
      <c r="AG17" s="176"/>
      <c r="AH17" s="177"/>
      <c r="AI17" s="178">
        <f t="shared" ca="1" si="4"/>
        <v>0</v>
      </c>
      <c r="AJ17" s="179"/>
    </row>
    <row r="18" spans="1:36" x14ac:dyDescent="0.25">
      <c r="A18" s="26"/>
      <c r="B18" s="104"/>
      <c r="C18" s="133"/>
      <c r="D18" s="99"/>
      <c r="E18" s="100"/>
      <c r="F18" s="168"/>
      <c r="G18" s="389"/>
      <c r="H18" s="446"/>
      <c r="I18" s="447"/>
      <c r="J18" s="196"/>
      <c r="K18" s="197"/>
      <c r="L18" s="187"/>
      <c r="M18" s="188"/>
      <c r="N18" s="186"/>
      <c r="O18" s="197"/>
      <c r="P18" s="187"/>
      <c r="Q18" s="188"/>
      <c r="R18" s="186"/>
      <c r="S18" s="187"/>
      <c r="T18" s="197"/>
      <c r="U18" s="188"/>
      <c r="V18" s="197"/>
      <c r="W18" s="197"/>
      <c r="X18" s="197"/>
      <c r="Y18" s="197"/>
      <c r="Z18" s="197"/>
      <c r="AA18" s="197"/>
      <c r="AB18" s="197"/>
      <c r="AC18" s="197"/>
      <c r="AD18" s="193">
        <f t="shared" ca="1" si="2"/>
        <v>0</v>
      </c>
      <c r="AE18" s="171">
        <f t="shared" ca="1" si="3"/>
        <v>0</v>
      </c>
      <c r="AF18" s="179"/>
      <c r="AG18" s="176"/>
      <c r="AH18" s="177"/>
      <c r="AI18" s="178">
        <f t="shared" ca="1" si="4"/>
        <v>0</v>
      </c>
      <c r="AJ18" s="122"/>
    </row>
    <row r="19" spans="1:36" x14ac:dyDescent="0.25">
      <c r="A19" s="26"/>
      <c r="B19" s="104"/>
      <c r="C19" s="133"/>
      <c r="D19" s="99"/>
      <c r="E19" s="100"/>
      <c r="F19" s="168"/>
      <c r="G19" s="389"/>
      <c r="H19" s="446"/>
      <c r="I19" s="447"/>
      <c r="J19" s="196"/>
      <c r="K19" s="197"/>
      <c r="L19" s="187"/>
      <c r="M19" s="204"/>
      <c r="N19" s="180"/>
      <c r="O19" s="205"/>
      <c r="P19" s="185"/>
      <c r="Q19" s="18"/>
      <c r="R19" s="180"/>
      <c r="S19" s="185"/>
      <c r="T19" s="205"/>
      <c r="U19" s="204"/>
      <c r="V19" s="205"/>
      <c r="W19" s="205"/>
      <c r="X19" s="205"/>
      <c r="Y19" s="205"/>
      <c r="Z19" s="205"/>
      <c r="AA19" s="205"/>
      <c r="AB19" s="205"/>
      <c r="AC19" s="205"/>
      <c r="AD19" s="193">
        <f t="shared" ca="1" si="2"/>
        <v>0</v>
      </c>
      <c r="AE19" s="171">
        <f t="shared" ca="1" si="3"/>
        <v>0</v>
      </c>
      <c r="AF19" s="179"/>
      <c r="AG19" s="176"/>
      <c r="AH19" s="177"/>
      <c r="AI19" s="178">
        <f t="shared" ca="1" si="4"/>
        <v>0</v>
      </c>
      <c r="AJ19" s="179"/>
    </row>
    <row r="20" spans="1:36" x14ac:dyDescent="0.25">
      <c r="A20" s="26"/>
      <c r="B20" s="104"/>
      <c r="C20" s="133"/>
      <c r="D20" s="99"/>
      <c r="E20" s="100"/>
      <c r="F20" s="168"/>
      <c r="G20" s="389"/>
      <c r="H20" s="446"/>
      <c r="I20" s="447"/>
      <c r="J20" s="196"/>
      <c r="K20" s="197"/>
      <c r="L20" s="187"/>
      <c r="M20" s="192"/>
      <c r="N20" s="194"/>
      <c r="O20" s="194"/>
      <c r="P20" s="190"/>
      <c r="Q20" s="191"/>
      <c r="R20" s="189"/>
      <c r="S20" s="190"/>
      <c r="T20" s="194"/>
      <c r="U20" s="204"/>
      <c r="V20" s="194"/>
      <c r="W20" s="194"/>
      <c r="X20" s="194"/>
      <c r="Y20" s="194"/>
      <c r="Z20" s="194"/>
      <c r="AA20" s="194"/>
      <c r="AB20" s="194"/>
      <c r="AC20" s="194"/>
      <c r="AD20" s="193">
        <f t="shared" ca="1" si="2"/>
        <v>0</v>
      </c>
      <c r="AE20" s="171">
        <f t="shared" ca="1" si="3"/>
        <v>0</v>
      </c>
      <c r="AF20" s="179"/>
      <c r="AG20" s="176"/>
      <c r="AH20" s="177"/>
      <c r="AI20" s="178">
        <f t="shared" ca="1" si="4"/>
        <v>0</v>
      </c>
      <c r="AJ20" s="179"/>
    </row>
    <row r="21" spans="1:36" x14ac:dyDescent="0.25">
      <c r="A21" s="26"/>
      <c r="B21" s="163"/>
      <c r="C21" s="164"/>
      <c r="D21" s="165"/>
      <c r="E21" s="166"/>
      <c r="F21" s="167"/>
      <c r="G21" s="390"/>
      <c r="H21" s="448"/>
      <c r="I21" s="449"/>
      <c r="J21" s="195"/>
      <c r="K21" s="201"/>
      <c r="L21" s="202"/>
      <c r="M21" s="18"/>
      <c r="N21" s="180"/>
      <c r="O21" s="205"/>
      <c r="P21" s="185"/>
      <c r="Q21" s="18"/>
      <c r="R21" s="180"/>
      <c r="S21" s="185"/>
      <c r="T21" s="205"/>
      <c r="U21" s="18"/>
      <c r="V21" s="205"/>
      <c r="W21" s="205"/>
      <c r="X21" s="205"/>
      <c r="Y21" s="205"/>
      <c r="Z21" s="205"/>
      <c r="AA21" s="205"/>
      <c r="AB21" s="205"/>
      <c r="AC21" s="205"/>
      <c r="AD21" s="332">
        <f t="shared" ca="1" si="2"/>
        <v>0</v>
      </c>
      <c r="AE21" s="169">
        <f t="shared" ca="1" si="3"/>
        <v>0</v>
      </c>
      <c r="AF21" s="214"/>
      <c r="AG21" s="174"/>
      <c r="AH21" s="172"/>
      <c r="AI21" s="175">
        <f t="shared" ca="1" si="4"/>
        <v>0</v>
      </c>
      <c r="AJ21" s="122"/>
    </row>
    <row r="22" spans="1:36" x14ac:dyDescent="0.25">
      <c r="B22" s="16" t="s">
        <v>99</v>
      </c>
      <c r="C22" s="41"/>
      <c r="D22" s="17"/>
      <c r="E22" s="53"/>
      <c r="F22" s="55"/>
      <c r="G22" s="384"/>
      <c r="H22" s="380"/>
      <c r="I22" s="374"/>
      <c r="J22" s="198">
        <f t="shared" ref="J22:AC22" ca="1" si="5">SUM(INDIRECT(ADDRESS(CELL("row", staffing_row_before_oversight)+1, COLUMN()) &amp; ":" &amp; ADDRESS(CELL("row", staffing_row_after_oversight)-1, COLUMN())))*5</f>
        <v>0</v>
      </c>
      <c r="K22" s="200">
        <f t="shared" ca="1" si="5"/>
        <v>0</v>
      </c>
      <c r="L22" s="200">
        <f t="shared" ca="1" si="5"/>
        <v>0</v>
      </c>
      <c r="M22" s="199">
        <f t="shared" ca="1" si="5"/>
        <v>0</v>
      </c>
      <c r="N22" s="183">
        <f t="shared" ca="1" si="5"/>
        <v>0</v>
      </c>
      <c r="O22" s="206">
        <f t="shared" ca="1" si="5"/>
        <v>0</v>
      </c>
      <c r="P22" s="184">
        <f t="shared" ca="1" si="5"/>
        <v>0</v>
      </c>
      <c r="Q22" s="181">
        <f t="shared" ca="1" si="5"/>
        <v>0</v>
      </c>
      <c r="R22" s="183">
        <f t="shared" ca="1" si="5"/>
        <v>0</v>
      </c>
      <c r="S22" s="184">
        <f t="shared" ca="1" si="5"/>
        <v>0</v>
      </c>
      <c r="T22" s="206">
        <f t="shared" ca="1" si="5"/>
        <v>0</v>
      </c>
      <c r="U22" s="181">
        <f t="shared" ca="1" si="5"/>
        <v>0</v>
      </c>
      <c r="V22" s="206">
        <f t="shared" ca="1" si="5"/>
        <v>0</v>
      </c>
      <c r="W22" s="206">
        <f t="shared" ca="1" si="5"/>
        <v>0</v>
      </c>
      <c r="X22" s="206">
        <f t="shared" ca="1" si="5"/>
        <v>0</v>
      </c>
      <c r="Y22" s="206">
        <f t="shared" ca="1" si="5"/>
        <v>0</v>
      </c>
      <c r="Z22" s="206">
        <f t="shared" ca="1" si="5"/>
        <v>0</v>
      </c>
      <c r="AA22" s="206">
        <f t="shared" ca="1" si="5"/>
        <v>0</v>
      </c>
      <c r="AB22" s="206">
        <f t="shared" ca="1" si="5"/>
        <v>0</v>
      </c>
      <c r="AC22" s="206">
        <f t="shared" ca="1" si="5"/>
        <v>0</v>
      </c>
      <c r="AD22" s="333">
        <f ca="1">SUM(INDIRECT(ADDRESS(ROW(),CELL("col",staffing_column_before_weeks)+1) &amp; ":" &amp; ADDRESS(ROW(),CELL("col", staffing_column_after_weeks)-1)))</f>
        <v>0</v>
      </c>
      <c r="AE22" s="216"/>
      <c r="AF22" s="345" t="s">
        <v>818</v>
      </c>
      <c r="AG22" s="198">
        <f ca="1">SUM(INDIRECT(ADDRESS(CELL("row", staffing_row_before_oversight)+1, COLUMN()) &amp; ":" &amp; ADDRESS(CELL("row", staffing_row_after_oversight)-1, COLUMN())))</f>
        <v>0</v>
      </c>
      <c r="AH22" s="217">
        <f ca="1">SUM(INDIRECT(ADDRESS(CELL("row", staffing_row_before_oversight)+1, COLUMN()) &amp; ":" &amp; ADDRESS(CELL("row", staffing_row_after_oversight)-1, COLUMN())))</f>
        <v>0</v>
      </c>
      <c r="AI22" s="49">
        <f ca="1">SUM(INDIRECT(ADDRESS(CELL("row", staffing_row_before_oversight)+1, COLUMN()) &amp; ":" &amp; ADDRESS(CELL("row", staffing_row_after_oversight)-1, COLUMN())))</f>
        <v>0</v>
      </c>
      <c r="AJ22" s="50"/>
    </row>
    <row r="23" spans="1:36" x14ac:dyDescent="0.25">
      <c r="B23" s="233" t="s">
        <v>100</v>
      </c>
      <c r="C23" s="234"/>
      <c r="D23" s="235"/>
      <c r="E23" s="236"/>
      <c r="F23" s="237"/>
      <c r="G23" s="385"/>
      <c r="H23" s="381"/>
      <c r="I23" s="375"/>
      <c r="J23" s="235"/>
      <c r="K23" s="235"/>
      <c r="L23" s="235"/>
      <c r="M23" s="235"/>
      <c r="N23" s="238"/>
      <c r="O23" s="235"/>
      <c r="P23" s="235"/>
      <c r="Q23" s="235"/>
      <c r="R23" s="235"/>
      <c r="S23" s="235"/>
      <c r="T23" s="238"/>
      <c r="U23" s="235"/>
      <c r="V23" s="238"/>
      <c r="W23" s="238"/>
      <c r="X23" s="238"/>
      <c r="Y23" s="238"/>
      <c r="Z23" s="238"/>
      <c r="AA23" s="238"/>
      <c r="AB23" s="238"/>
      <c r="AC23" s="238"/>
      <c r="AD23" s="235"/>
      <c r="AE23" s="239"/>
      <c r="AF23" s="346"/>
      <c r="AG23" s="240"/>
      <c r="AH23" s="240"/>
      <c r="AI23" s="239"/>
      <c r="AJ23" s="241"/>
    </row>
    <row r="24" spans="1:36" x14ac:dyDescent="0.25">
      <c r="A24" s="26"/>
      <c r="B24" s="104"/>
      <c r="C24" s="133"/>
      <c r="D24" s="153"/>
      <c r="E24" s="100"/>
      <c r="F24" s="168"/>
      <c r="G24" s="387"/>
      <c r="H24" s="444"/>
      <c r="I24" s="445"/>
      <c r="J24" s="196"/>
      <c r="K24" s="197"/>
      <c r="L24" s="197"/>
      <c r="M24" s="188"/>
      <c r="N24" s="186"/>
      <c r="O24" s="197"/>
      <c r="P24" s="197"/>
      <c r="Q24" s="188"/>
      <c r="R24" s="186"/>
      <c r="S24" s="197"/>
      <c r="T24" s="187"/>
      <c r="U24" s="188"/>
      <c r="V24" s="187"/>
      <c r="W24" s="187"/>
      <c r="X24" s="187"/>
      <c r="Y24" s="187"/>
      <c r="Z24" s="187"/>
      <c r="AA24" s="187"/>
      <c r="AB24" s="187"/>
      <c r="AC24" s="187"/>
      <c r="AD24" s="331">
        <f ca="1">SUM(INDIRECT(ADDRESS(ROW(),CELL("col",staffing_column_before_weeks)+1) &amp; ":" &amp; ADDRESS(ROW(),CELL("col", staffing_column_after_weeks)-1)))*5</f>
        <v>0</v>
      </c>
      <c r="AE24" s="224">
        <f ca="1">IF(staffing_planned_net_work_days=0,0,AD24/staffing_planned_net_work_days)</f>
        <v>0</v>
      </c>
      <c r="AF24" s="208"/>
      <c r="AG24" s="176"/>
      <c r="AH24" s="177"/>
      <c r="AI24" s="178">
        <f t="shared" ref="AI24:AI43" ca="1" si="6">IF(OR(AG24="",AH24=""),0,PRODUCT(INDIRECT(ADDRESS(ROW(),CELL("col",staffing_column_Rate)+1) &amp; ":" &amp; ADDRESS(ROW(),CELL("col", staffing_column_HrsPerDay)-1)), INDIRECT(ADDRESS(ROW(),CELL("col",staffing_column_after_weeks)))))</f>
        <v>0</v>
      </c>
      <c r="AJ24" s="127"/>
    </row>
    <row r="25" spans="1:36" x14ac:dyDescent="0.25">
      <c r="A25" s="207"/>
      <c r="B25" s="104"/>
      <c r="C25" s="133"/>
      <c r="D25" s="153"/>
      <c r="E25" s="100"/>
      <c r="F25" s="168"/>
      <c r="G25" s="389"/>
      <c r="H25" s="446"/>
      <c r="I25" s="447"/>
      <c r="J25" s="196"/>
      <c r="K25" s="197"/>
      <c r="L25" s="197"/>
      <c r="M25" s="188"/>
      <c r="N25" s="186"/>
      <c r="O25" s="197"/>
      <c r="P25" s="197"/>
      <c r="Q25" s="188"/>
      <c r="R25" s="186"/>
      <c r="S25" s="197"/>
      <c r="T25" s="187"/>
      <c r="U25" s="188"/>
      <c r="V25" s="187"/>
      <c r="W25" s="187"/>
      <c r="X25" s="187"/>
      <c r="Y25" s="187"/>
      <c r="Z25" s="187"/>
      <c r="AA25" s="187"/>
      <c r="AB25" s="187"/>
      <c r="AC25" s="187"/>
      <c r="AD25" s="193">
        <f t="shared" ref="AD25:AD43" ca="1" si="7">SUM(INDIRECT(ADDRESS(ROW(),CELL("col",staffing_column_before_weeks)+1) &amp; ":" &amp; ADDRESS(ROW(),CELL("col", staffing_column_after_weeks)-1)))*5</f>
        <v>0</v>
      </c>
      <c r="AE25" s="336">
        <f ca="1">IF(staffing_planned_net_work_days=0,0,AD25/staffing_planned_net_work_days)</f>
        <v>0</v>
      </c>
      <c r="AF25" s="179"/>
      <c r="AG25" s="176"/>
      <c r="AH25" s="177"/>
      <c r="AI25" s="178">
        <f t="shared" ca="1" si="6"/>
        <v>0</v>
      </c>
      <c r="AJ25" s="127"/>
    </row>
    <row r="26" spans="1:36" x14ac:dyDescent="0.25">
      <c r="A26" s="26"/>
      <c r="B26" s="76"/>
      <c r="C26" s="160"/>
      <c r="D26" s="150"/>
      <c r="E26" s="78"/>
      <c r="F26" s="162"/>
      <c r="G26" s="391"/>
      <c r="H26" s="446"/>
      <c r="I26" s="447"/>
      <c r="J26" s="196"/>
      <c r="K26" s="194"/>
      <c r="L26" s="194"/>
      <c r="M26" s="191"/>
      <c r="N26" s="189"/>
      <c r="O26" s="194"/>
      <c r="P26" s="194"/>
      <c r="Q26" s="191"/>
      <c r="R26" s="189"/>
      <c r="S26" s="194"/>
      <c r="T26" s="190"/>
      <c r="U26" s="191"/>
      <c r="V26" s="190"/>
      <c r="W26" s="190"/>
      <c r="X26" s="190"/>
      <c r="Y26" s="190"/>
      <c r="Z26" s="190"/>
      <c r="AA26" s="190"/>
      <c r="AB26" s="190"/>
      <c r="AC26" s="190"/>
      <c r="AD26" s="193">
        <f t="shared" ca="1" si="7"/>
        <v>0</v>
      </c>
      <c r="AE26" s="336">
        <f t="shared" ref="AE26:AE37" ca="1" si="8">IF(staffing_planned_net_work_days=0,0,AD26/staffing_planned_net_work_days)</f>
        <v>0</v>
      </c>
      <c r="AF26" s="179"/>
      <c r="AG26" s="176"/>
      <c r="AH26" s="177"/>
      <c r="AI26" s="178">
        <f t="shared" ca="1" si="6"/>
        <v>0</v>
      </c>
      <c r="AJ26" s="127"/>
    </row>
    <row r="27" spans="1:36" x14ac:dyDescent="0.25">
      <c r="A27" s="138"/>
      <c r="B27" s="134"/>
      <c r="C27" s="106"/>
      <c r="D27" s="149"/>
      <c r="E27" s="82"/>
      <c r="F27" s="161"/>
      <c r="G27" s="388"/>
      <c r="H27" s="446"/>
      <c r="I27" s="447"/>
      <c r="J27" s="220"/>
      <c r="K27" s="194"/>
      <c r="L27" s="194"/>
      <c r="M27" s="191"/>
      <c r="N27" s="189"/>
      <c r="O27" s="194"/>
      <c r="P27" s="194"/>
      <c r="Q27" s="191"/>
      <c r="R27" s="189"/>
      <c r="S27" s="194"/>
      <c r="T27" s="190"/>
      <c r="U27" s="191"/>
      <c r="V27" s="190"/>
      <c r="W27" s="190"/>
      <c r="X27" s="190"/>
      <c r="Y27" s="190"/>
      <c r="Z27" s="190"/>
      <c r="AA27" s="190"/>
      <c r="AB27" s="190"/>
      <c r="AC27" s="190"/>
      <c r="AD27" s="193">
        <f t="shared" ca="1" si="7"/>
        <v>0</v>
      </c>
      <c r="AE27" s="336">
        <f t="shared" ca="1" si="8"/>
        <v>0</v>
      </c>
      <c r="AF27" s="179"/>
      <c r="AG27" s="176"/>
      <c r="AH27" s="177"/>
      <c r="AI27" s="178">
        <f t="shared" ca="1" si="6"/>
        <v>0</v>
      </c>
      <c r="AJ27" s="127"/>
    </row>
    <row r="28" spans="1:36" x14ac:dyDescent="0.25">
      <c r="A28" s="138"/>
      <c r="B28" s="136"/>
      <c r="C28" s="133"/>
      <c r="D28" s="153"/>
      <c r="E28" s="100"/>
      <c r="F28" s="168"/>
      <c r="G28" s="389"/>
      <c r="H28" s="446"/>
      <c r="I28" s="447"/>
      <c r="J28" s="196"/>
      <c r="K28" s="197"/>
      <c r="L28" s="197"/>
      <c r="M28" s="188"/>
      <c r="N28" s="186"/>
      <c r="O28" s="197"/>
      <c r="P28" s="197"/>
      <c r="Q28" s="188"/>
      <c r="R28" s="186"/>
      <c r="S28" s="197"/>
      <c r="T28" s="187"/>
      <c r="U28" s="188"/>
      <c r="V28" s="187"/>
      <c r="W28" s="187"/>
      <c r="X28" s="187"/>
      <c r="Y28" s="187"/>
      <c r="Z28" s="187"/>
      <c r="AA28" s="187"/>
      <c r="AB28" s="187"/>
      <c r="AC28" s="187"/>
      <c r="AD28" s="193">
        <f t="shared" ca="1" si="7"/>
        <v>0</v>
      </c>
      <c r="AE28" s="336">
        <f t="shared" ca="1" si="8"/>
        <v>0</v>
      </c>
      <c r="AF28" s="179"/>
      <c r="AG28" s="176"/>
      <c r="AH28" s="177"/>
      <c r="AI28" s="178">
        <f t="shared" ca="1" si="6"/>
        <v>0</v>
      </c>
      <c r="AJ28" s="127"/>
    </row>
    <row r="29" spans="1:36" x14ac:dyDescent="0.25">
      <c r="A29" s="138"/>
      <c r="B29" s="136"/>
      <c r="C29" s="133"/>
      <c r="D29" s="153"/>
      <c r="E29" s="100"/>
      <c r="F29" s="168"/>
      <c r="G29" s="389"/>
      <c r="H29" s="446"/>
      <c r="I29" s="447"/>
      <c r="J29" s="196"/>
      <c r="K29" s="197"/>
      <c r="L29" s="197"/>
      <c r="M29" s="188"/>
      <c r="N29" s="186"/>
      <c r="O29" s="197"/>
      <c r="P29" s="197"/>
      <c r="Q29" s="188"/>
      <c r="R29" s="186"/>
      <c r="S29" s="197"/>
      <c r="T29" s="187"/>
      <c r="U29" s="188"/>
      <c r="V29" s="187"/>
      <c r="W29" s="187"/>
      <c r="X29" s="187"/>
      <c r="Y29" s="187"/>
      <c r="Z29" s="187"/>
      <c r="AA29" s="187"/>
      <c r="AB29" s="187"/>
      <c r="AC29" s="187"/>
      <c r="AD29" s="219">
        <f t="shared" ca="1" si="7"/>
        <v>0</v>
      </c>
      <c r="AE29" s="337">
        <f t="shared" ca="1" si="8"/>
        <v>0</v>
      </c>
      <c r="AF29" s="245"/>
      <c r="AG29" s="213"/>
      <c r="AH29" s="177"/>
      <c r="AI29" s="178">
        <f t="shared" ca="1" si="6"/>
        <v>0</v>
      </c>
      <c r="AJ29" s="127"/>
    </row>
    <row r="30" spans="1:36" x14ac:dyDescent="0.25">
      <c r="A30" s="138"/>
      <c r="B30" s="135"/>
      <c r="C30" s="160"/>
      <c r="D30" s="150"/>
      <c r="E30" s="78"/>
      <c r="F30" s="162"/>
      <c r="G30" s="391"/>
      <c r="H30" s="446"/>
      <c r="I30" s="447"/>
      <c r="J30" s="196"/>
      <c r="K30" s="197"/>
      <c r="L30" s="197"/>
      <c r="M30" s="188"/>
      <c r="N30" s="186"/>
      <c r="O30" s="197"/>
      <c r="P30" s="197"/>
      <c r="Q30" s="188"/>
      <c r="R30" s="186"/>
      <c r="S30" s="197"/>
      <c r="T30" s="187"/>
      <c r="U30" s="188"/>
      <c r="V30" s="187"/>
      <c r="W30" s="187"/>
      <c r="X30" s="187"/>
      <c r="Y30" s="187"/>
      <c r="Z30" s="187"/>
      <c r="AA30" s="187"/>
      <c r="AB30" s="187"/>
      <c r="AC30" s="187"/>
      <c r="AD30" s="193">
        <f t="shared" ca="1" si="7"/>
        <v>0</v>
      </c>
      <c r="AE30" s="336">
        <f t="shared" ca="1" si="8"/>
        <v>0</v>
      </c>
      <c r="AF30" s="179"/>
      <c r="AG30" s="213"/>
      <c r="AH30" s="177"/>
      <c r="AI30" s="178">
        <f t="shared" ca="1" si="6"/>
        <v>0</v>
      </c>
      <c r="AJ30" s="127"/>
    </row>
    <row r="31" spans="1:36" x14ac:dyDescent="0.25">
      <c r="A31" s="138"/>
      <c r="B31" s="134"/>
      <c r="C31" s="106"/>
      <c r="D31" s="149"/>
      <c r="E31" s="82"/>
      <c r="F31" s="161"/>
      <c r="G31" s="388"/>
      <c r="H31" s="446"/>
      <c r="I31" s="447"/>
      <c r="J31" s="190"/>
      <c r="K31" s="194"/>
      <c r="L31" s="194"/>
      <c r="M31" s="191"/>
      <c r="N31" s="189"/>
      <c r="O31" s="194"/>
      <c r="P31" s="194"/>
      <c r="Q31" s="191"/>
      <c r="R31" s="189"/>
      <c r="S31" s="194"/>
      <c r="T31" s="190"/>
      <c r="U31" s="191"/>
      <c r="V31" s="190"/>
      <c r="W31" s="190"/>
      <c r="X31" s="190"/>
      <c r="Y31" s="190"/>
      <c r="Z31" s="190"/>
      <c r="AA31" s="190"/>
      <c r="AB31" s="190"/>
      <c r="AC31" s="190"/>
      <c r="AD31" s="193">
        <f t="shared" ca="1" si="7"/>
        <v>0</v>
      </c>
      <c r="AE31" s="336">
        <f t="shared" ca="1" si="8"/>
        <v>0</v>
      </c>
      <c r="AF31" s="208"/>
      <c r="AG31" s="213"/>
      <c r="AH31" s="177"/>
      <c r="AI31" s="178">
        <f t="shared" ca="1" si="6"/>
        <v>0</v>
      </c>
      <c r="AJ31" s="127"/>
    </row>
    <row r="32" spans="1:36" x14ac:dyDescent="0.25">
      <c r="A32" s="138"/>
      <c r="B32" s="136"/>
      <c r="C32" s="133"/>
      <c r="D32" s="153"/>
      <c r="E32" s="100"/>
      <c r="F32" s="168"/>
      <c r="G32" s="389"/>
      <c r="H32" s="446"/>
      <c r="I32" s="447"/>
      <c r="J32" s="187"/>
      <c r="K32" s="197"/>
      <c r="L32" s="197"/>
      <c r="M32" s="188"/>
      <c r="N32" s="186"/>
      <c r="O32" s="197"/>
      <c r="P32" s="197"/>
      <c r="Q32" s="188"/>
      <c r="R32" s="186"/>
      <c r="S32" s="197"/>
      <c r="T32" s="187"/>
      <c r="U32" s="188"/>
      <c r="V32" s="187"/>
      <c r="W32" s="187"/>
      <c r="X32" s="187"/>
      <c r="Y32" s="187"/>
      <c r="Z32" s="187"/>
      <c r="AA32" s="187"/>
      <c r="AB32" s="187"/>
      <c r="AC32" s="187"/>
      <c r="AD32" s="193">
        <f t="shared" ca="1" si="7"/>
        <v>0</v>
      </c>
      <c r="AE32" s="336">
        <f t="shared" ca="1" si="8"/>
        <v>0</v>
      </c>
      <c r="AF32" s="208"/>
      <c r="AG32" s="213"/>
      <c r="AH32" s="177"/>
      <c r="AI32" s="178">
        <f t="shared" ca="1" si="6"/>
        <v>0</v>
      </c>
      <c r="AJ32" s="127"/>
    </row>
    <row r="33" spans="1:36" x14ac:dyDescent="0.25">
      <c r="A33" s="138"/>
      <c r="B33" s="136"/>
      <c r="C33" s="133"/>
      <c r="D33" s="153"/>
      <c r="E33" s="100"/>
      <c r="F33" s="168"/>
      <c r="G33" s="389"/>
      <c r="H33" s="446"/>
      <c r="I33" s="447"/>
      <c r="J33" s="190"/>
      <c r="K33" s="194"/>
      <c r="L33" s="194"/>
      <c r="M33" s="191"/>
      <c r="N33" s="189"/>
      <c r="O33" s="194"/>
      <c r="P33" s="194"/>
      <c r="Q33" s="191"/>
      <c r="R33" s="189"/>
      <c r="S33" s="194"/>
      <c r="T33" s="190"/>
      <c r="U33" s="191"/>
      <c r="V33" s="190"/>
      <c r="W33" s="190"/>
      <c r="X33" s="190"/>
      <c r="Y33" s="190"/>
      <c r="Z33" s="190"/>
      <c r="AA33" s="190"/>
      <c r="AB33" s="190"/>
      <c r="AC33" s="190"/>
      <c r="AD33" s="193">
        <f t="shared" ca="1" si="7"/>
        <v>0</v>
      </c>
      <c r="AE33" s="336">
        <f t="shared" ca="1" si="8"/>
        <v>0</v>
      </c>
      <c r="AF33" s="179"/>
      <c r="AG33" s="213"/>
      <c r="AH33" s="177"/>
      <c r="AI33" s="178">
        <f t="shared" ca="1" si="6"/>
        <v>0</v>
      </c>
      <c r="AJ33" s="127"/>
    </row>
    <row r="34" spans="1:36" x14ac:dyDescent="0.25">
      <c r="A34" s="138"/>
      <c r="B34" s="135"/>
      <c r="C34" s="160"/>
      <c r="D34" s="150"/>
      <c r="E34" s="78"/>
      <c r="F34" s="162"/>
      <c r="G34" s="391"/>
      <c r="H34" s="446"/>
      <c r="I34" s="447"/>
      <c r="J34" s="187"/>
      <c r="K34" s="197"/>
      <c r="L34" s="197"/>
      <c r="M34" s="188"/>
      <c r="N34" s="186"/>
      <c r="O34" s="197"/>
      <c r="P34" s="197"/>
      <c r="Q34" s="188"/>
      <c r="R34" s="186"/>
      <c r="S34" s="197"/>
      <c r="T34" s="187"/>
      <c r="U34" s="188"/>
      <c r="V34" s="187"/>
      <c r="W34" s="187"/>
      <c r="X34" s="187"/>
      <c r="Y34" s="187"/>
      <c r="Z34" s="187"/>
      <c r="AA34" s="187"/>
      <c r="AB34" s="187"/>
      <c r="AC34" s="187"/>
      <c r="AD34" s="219">
        <f t="shared" ca="1" si="7"/>
        <v>0</v>
      </c>
      <c r="AE34" s="337">
        <f t="shared" ca="1" si="8"/>
        <v>0</v>
      </c>
      <c r="AF34" s="214"/>
      <c r="AG34" s="213"/>
      <c r="AH34" s="177"/>
      <c r="AI34" s="178">
        <f t="shared" ca="1" si="6"/>
        <v>0</v>
      </c>
      <c r="AJ34" s="127"/>
    </row>
    <row r="35" spans="1:36" x14ac:dyDescent="0.25">
      <c r="A35" s="138"/>
      <c r="B35" s="242"/>
      <c r="C35" s="106"/>
      <c r="D35" s="149"/>
      <c r="E35" s="82"/>
      <c r="F35" s="161"/>
      <c r="G35" s="388"/>
      <c r="H35" s="446"/>
      <c r="I35" s="447"/>
      <c r="J35" s="190"/>
      <c r="K35" s="194"/>
      <c r="L35" s="194"/>
      <c r="M35" s="191"/>
      <c r="N35" s="189"/>
      <c r="O35" s="194"/>
      <c r="P35" s="194"/>
      <c r="Q35" s="191"/>
      <c r="R35" s="189"/>
      <c r="S35" s="194"/>
      <c r="T35" s="190"/>
      <c r="U35" s="191"/>
      <c r="V35" s="190"/>
      <c r="W35" s="190"/>
      <c r="X35" s="190"/>
      <c r="Y35" s="190"/>
      <c r="Z35" s="190"/>
      <c r="AA35" s="190"/>
      <c r="AB35" s="190"/>
      <c r="AC35" s="190"/>
      <c r="AD35" s="193">
        <f t="shared" ca="1" si="7"/>
        <v>0</v>
      </c>
      <c r="AE35" s="336">
        <f t="shared" ca="1" si="8"/>
        <v>0</v>
      </c>
      <c r="AF35" s="179"/>
      <c r="AG35" s="213"/>
      <c r="AH35" s="177"/>
      <c r="AI35" s="178">
        <f t="shared" ca="1" si="6"/>
        <v>0</v>
      </c>
      <c r="AJ35" s="127"/>
    </row>
    <row r="36" spans="1:36" x14ac:dyDescent="0.25">
      <c r="A36" s="138"/>
      <c r="B36" s="135"/>
      <c r="C36" s="133"/>
      <c r="D36" s="153"/>
      <c r="E36" s="100"/>
      <c r="F36" s="168"/>
      <c r="G36" s="389"/>
      <c r="H36" s="446"/>
      <c r="I36" s="447"/>
      <c r="J36" s="187"/>
      <c r="K36" s="197"/>
      <c r="L36" s="197"/>
      <c r="M36" s="188"/>
      <c r="N36" s="186"/>
      <c r="O36" s="197"/>
      <c r="P36" s="197"/>
      <c r="Q36" s="188"/>
      <c r="R36" s="186"/>
      <c r="S36" s="197"/>
      <c r="T36" s="187"/>
      <c r="U36" s="188"/>
      <c r="V36" s="187"/>
      <c r="W36" s="187"/>
      <c r="X36" s="187"/>
      <c r="Y36" s="187"/>
      <c r="Z36" s="187"/>
      <c r="AA36" s="187"/>
      <c r="AB36" s="187"/>
      <c r="AC36" s="187"/>
      <c r="AD36" s="193">
        <f t="shared" ca="1" si="7"/>
        <v>0</v>
      </c>
      <c r="AE36" s="336">
        <f t="shared" ca="1" si="8"/>
        <v>0</v>
      </c>
      <c r="AF36" s="179"/>
      <c r="AG36" s="244"/>
      <c r="AH36" s="172"/>
      <c r="AI36" s="175">
        <f t="shared" ca="1" si="6"/>
        <v>0</v>
      </c>
      <c r="AJ36" s="122"/>
    </row>
    <row r="37" spans="1:36" x14ac:dyDescent="0.25">
      <c r="A37" s="138"/>
      <c r="B37" s="134"/>
      <c r="C37" s="160"/>
      <c r="D37" s="150"/>
      <c r="E37" s="78"/>
      <c r="F37" s="162"/>
      <c r="G37" s="391"/>
      <c r="H37" s="446"/>
      <c r="I37" s="447"/>
      <c r="J37" s="185"/>
      <c r="K37" s="205"/>
      <c r="L37" s="205"/>
      <c r="M37" s="18"/>
      <c r="N37" s="180"/>
      <c r="O37" s="205"/>
      <c r="P37" s="205"/>
      <c r="Q37" s="18"/>
      <c r="R37" s="180"/>
      <c r="S37" s="205"/>
      <c r="T37" s="185"/>
      <c r="U37" s="18"/>
      <c r="V37" s="185"/>
      <c r="W37" s="185"/>
      <c r="X37" s="185"/>
      <c r="Y37" s="185"/>
      <c r="Z37" s="185"/>
      <c r="AA37" s="185"/>
      <c r="AB37" s="185"/>
      <c r="AC37" s="185"/>
      <c r="AD37" s="193">
        <f t="shared" ca="1" si="7"/>
        <v>0</v>
      </c>
      <c r="AE37" s="338">
        <f t="shared" ca="1" si="8"/>
        <v>0</v>
      </c>
      <c r="AF37" s="208"/>
      <c r="AG37" s="211"/>
      <c r="AH37" s="210"/>
      <c r="AI37" s="209">
        <f t="shared" ca="1" si="6"/>
        <v>0</v>
      </c>
      <c r="AJ37" s="179"/>
    </row>
    <row r="38" spans="1:36" x14ac:dyDescent="0.25">
      <c r="A38" s="138"/>
      <c r="B38" s="134"/>
      <c r="C38" s="106"/>
      <c r="D38" s="149"/>
      <c r="E38" s="82"/>
      <c r="F38" s="161"/>
      <c r="G38" s="388"/>
      <c r="H38" s="446"/>
      <c r="I38" s="447"/>
      <c r="J38" s="190"/>
      <c r="K38" s="194"/>
      <c r="L38" s="194"/>
      <c r="M38" s="191"/>
      <c r="N38" s="189"/>
      <c r="O38" s="194"/>
      <c r="P38" s="194"/>
      <c r="Q38" s="191"/>
      <c r="R38" s="189"/>
      <c r="S38" s="194"/>
      <c r="T38" s="190"/>
      <c r="U38" s="191"/>
      <c r="V38" s="190"/>
      <c r="W38" s="190"/>
      <c r="X38" s="190"/>
      <c r="Y38" s="190"/>
      <c r="Z38" s="190"/>
      <c r="AA38" s="190"/>
      <c r="AB38" s="190"/>
      <c r="AC38" s="190"/>
      <c r="AD38" s="331">
        <f t="shared" ca="1" si="7"/>
        <v>0</v>
      </c>
      <c r="AE38" s="215">
        <f t="shared" ref="AE38:AE43" ca="1" si="9">IF(staffing_planned_net_work_days=0,0,AD38/staffing_planned_net_work_days)</f>
        <v>0</v>
      </c>
      <c r="AF38" s="179"/>
      <c r="AG38" s="211"/>
      <c r="AH38" s="210"/>
      <c r="AI38" s="209">
        <f t="shared" ca="1" si="6"/>
        <v>0</v>
      </c>
      <c r="AJ38" s="179"/>
    </row>
    <row r="39" spans="1:36" x14ac:dyDescent="0.25">
      <c r="A39" s="138"/>
      <c r="B39" s="136"/>
      <c r="C39" s="133"/>
      <c r="D39" s="153"/>
      <c r="E39" s="100"/>
      <c r="F39" s="168"/>
      <c r="G39" s="389"/>
      <c r="H39" s="446"/>
      <c r="I39" s="447"/>
      <c r="J39" s="196"/>
      <c r="K39" s="197"/>
      <c r="L39" s="197"/>
      <c r="M39" s="188"/>
      <c r="N39" s="186"/>
      <c r="O39" s="197"/>
      <c r="P39" s="197"/>
      <c r="Q39" s="188"/>
      <c r="R39" s="186"/>
      <c r="S39" s="197"/>
      <c r="T39" s="187"/>
      <c r="U39" s="188"/>
      <c r="V39" s="187"/>
      <c r="W39" s="187"/>
      <c r="X39" s="187"/>
      <c r="Y39" s="187"/>
      <c r="Z39" s="187"/>
      <c r="AA39" s="187"/>
      <c r="AB39" s="187"/>
      <c r="AC39" s="187"/>
      <c r="AD39" s="331">
        <f t="shared" ca="1" si="7"/>
        <v>0</v>
      </c>
      <c r="AE39" s="215">
        <f t="shared" ca="1" si="9"/>
        <v>0</v>
      </c>
      <c r="AF39" s="208"/>
      <c r="AG39" s="176"/>
      <c r="AH39" s="177"/>
      <c r="AI39" s="178">
        <f t="shared" ca="1" si="6"/>
        <v>0</v>
      </c>
      <c r="AJ39" s="208"/>
    </row>
    <row r="40" spans="1:36" x14ac:dyDescent="0.25">
      <c r="A40" s="138"/>
      <c r="B40" s="136"/>
      <c r="C40" s="133"/>
      <c r="D40" s="153"/>
      <c r="E40" s="100"/>
      <c r="F40" s="168"/>
      <c r="G40" s="389"/>
      <c r="H40" s="446"/>
      <c r="I40" s="447"/>
      <c r="J40" s="196"/>
      <c r="K40" s="197"/>
      <c r="L40" s="197"/>
      <c r="M40" s="188"/>
      <c r="N40" s="186"/>
      <c r="O40" s="197"/>
      <c r="P40" s="197"/>
      <c r="Q40" s="188"/>
      <c r="R40" s="186"/>
      <c r="S40" s="197"/>
      <c r="T40" s="187"/>
      <c r="U40" s="188"/>
      <c r="V40" s="187"/>
      <c r="W40" s="187"/>
      <c r="X40" s="187"/>
      <c r="Y40" s="187"/>
      <c r="Z40" s="187"/>
      <c r="AA40" s="187"/>
      <c r="AB40" s="187"/>
      <c r="AC40" s="187"/>
      <c r="AD40" s="193">
        <f t="shared" ca="1" si="7"/>
        <v>0</v>
      </c>
      <c r="AE40" s="336">
        <f t="shared" ca="1" si="9"/>
        <v>0</v>
      </c>
      <c r="AF40" s="208"/>
      <c r="AG40" s="176"/>
      <c r="AH40" s="177"/>
      <c r="AI40" s="178">
        <f t="shared" ca="1" si="6"/>
        <v>0</v>
      </c>
      <c r="AJ40" s="127"/>
    </row>
    <row r="41" spans="1:36" x14ac:dyDescent="0.25">
      <c r="A41" s="138"/>
      <c r="B41" s="134"/>
      <c r="C41" s="106"/>
      <c r="D41" s="149"/>
      <c r="E41" s="82"/>
      <c r="F41" s="161"/>
      <c r="G41" s="388"/>
      <c r="H41" s="446"/>
      <c r="I41" s="447"/>
      <c r="J41" s="220"/>
      <c r="K41" s="194"/>
      <c r="L41" s="194"/>
      <c r="M41" s="191"/>
      <c r="N41" s="189"/>
      <c r="O41" s="194"/>
      <c r="P41" s="194"/>
      <c r="Q41" s="191"/>
      <c r="R41" s="189"/>
      <c r="S41" s="194"/>
      <c r="T41" s="190"/>
      <c r="U41" s="191"/>
      <c r="V41" s="190"/>
      <c r="W41" s="190"/>
      <c r="X41" s="190"/>
      <c r="Y41" s="190"/>
      <c r="Z41" s="190"/>
      <c r="AA41" s="190"/>
      <c r="AB41" s="190"/>
      <c r="AC41" s="190"/>
      <c r="AD41" s="193">
        <f t="shared" ca="1" si="7"/>
        <v>0</v>
      </c>
      <c r="AE41" s="336">
        <f t="shared" ca="1" si="9"/>
        <v>0</v>
      </c>
      <c r="AF41" s="179"/>
      <c r="AG41" s="211"/>
      <c r="AH41" s="210"/>
      <c r="AI41" s="209">
        <f t="shared" ca="1" si="6"/>
        <v>0</v>
      </c>
      <c r="AJ41" s="130"/>
    </row>
    <row r="42" spans="1:36" x14ac:dyDescent="0.25">
      <c r="A42" s="138"/>
      <c r="B42" s="136"/>
      <c r="C42" s="133"/>
      <c r="D42" s="153"/>
      <c r="E42" s="100"/>
      <c r="F42" s="168"/>
      <c r="G42" s="389"/>
      <c r="H42" s="446"/>
      <c r="I42" s="447"/>
      <c r="J42" s="196"/>
      <c r="K42" s="197"/>
      <c r="L42" s="197"/>
      <c r="M42" s="188"/>
      <c r="N42" s="186"/>
      <c r="O42" s="197"/>
      <c r="P42" s="197"/>
      <c r="Q42" s="188"/>
      <c r="R42" s="186"/>
      <c r="S42" s="197"/>
      <c r="T42" s="187"/>
      <c r="U42" s="188"/>
      <c r="V42" s="187"/>
      <c r="W42" s="187"/>
      <c r="X42" s="187"/>
      <c r="Y42" s="187"/>
      <c r="Z42" s="187"/>
      <c r="AA42" s="187"/>
      <c r="AB42" s="187"/>
      <c r="AC42" s="187"/>
      <c r="AD42" s="193">
        <f t="shared" ca="1" si="7"/>
        <v>0</v>
      </c>
      <c r="AE42" s="336">
        <f t="shared" ca="1" si="9"/>
        <v>0</v>
      </c>
      <c r="AF42" s="179"/>
      <c r="AG42" s="211"/>
      <c r="AH42" s="210"/>
      <c r="AI42" s="209">
        <f t="shared" ca="1" si="6"/>
        <v>0</v>
      </c>
      <c r="AJ42" s="130"/>
    </row>
    <row r="43" spans="1:36" x14ac:dyDescent="0.25">
      <c r="A43" s="138"/>
      <c r="B43" s="243"/>
      <c r="C43" s="222"/>
      <c r="D43" s="223"/>
      <c r="E43" s="166"/>
      <c r="F43" s="167"/>
      <c r="G43" s="390"/>
      <c r="H43" s="448"/>
      <c r="I43" s="449"/>
      <c r="J43" s="221"/>
      <c r="K43" s="205"/>
      <c r="L43" s="205"/>
      <c r="M43" s="18"/>
      <c r="N43" s="180"/>
      <c r="O43" s="205"/>
      <c r="P43" s="205"/>
      <c r="Q43" s="18"/>
      <c r="R43" s="180"/>
      <c r="S43" s="205"/>
      <c r="T43" s="185"/>
      <c r="U43" s="18"/>
      <c r="V43" s="185"/>
      <c r="W43" s="185"/>
      <c r="X43" s="185"/>
      <c r="Y43" s="185"/>
      <c r="Z43" s="185"/>
      <c r="AA43" s="185"/>
      <c r="AB43" s="185"/>
      <c r="AC43" s="185"/>
      <c r="AD43" s="218">
        <f t="shared" ca="1" si="7"/>
        <v>0</v>
      </c>
      <c r="AE43" s="337">
        <f t="shared" ca="1" si="9"/>
        <v>0</v>
      </c>
      <c r="AF43" s="214"/>
      <c r="AG43" s="173"/>
      <c r="AH43" s="172"/>
      <c r="AI43" s="175">
        <f t="shared" ca="1" si="6"/>
        <v>0</v>
      </c>
      <c r="AJ43" s="122"/>
    </row>
    <row r="44" spans="1:36" x14ac:dyDescent="0.25">
      <c r="B44" s="16" t="s">
        <v>101</v>
      </c>
      <c r="C44" s="41"/>
      <c r="D44" s="17"/>
      <c r="E44" s="55"/>
      <c r="F44" s="55"/>
      <c r="G44" s="384"/>
      <c r="H44" s="380"/>
      <c r="I44" s="374"/>
      <c r="J44" s="212">
        <f t="shared" ref="J44:AC44" ca="1" si="10">SUM(INDIRECT(ADDRESS(CELL("row", staffing_row_before_team)+1, COLUMN()) &amp; ":" &amp; ADDRESS(CELL("row", staffing_row_after_team)-1, COLUMN())))*5</f>
        <v>0</v>
      </c>
      <c r="K44" s="206">
        <f t="shared" ca="1" si="10"/>
        <v>0</v>
      </c>
      <c r="L44" s="206">
        <f t="shared" ca="1" si="10"/>
        <v>0</v>
      </c>
      <c r="M44" s="181">
        <f t="shared" ca="1" si="10"/>
        <v>0</v>
      </c>
      <c r="N44" s="183">
        <f t="shared" ca="1" si="10"/>
        <v>0</v>
      </c>
      <c r="O44" s="206">
        <f t="shared" ca="1" si="10"/>
        <v>0</v>
      </c>
      <c r="P44" s="206">
        <f t="shared" ca="1" si="10"/>
        <v>0</v>
      </c>
      <c r="Q44" s="181">
        <f t="shared" ca="1" si="10"/>
        <v>0</v>
      </c>
      <c r="R44" s="183">
        <f t="shared" ca="1" si="10"/>
        <v>0</v>
      </c>
      <c r="S44" s="206">
        <f t="shared" ca="1" si="10"/>
        <v>0</v>
      </c>
      <c r="T44" s="184">
        <f t="shared" ca="1" si="10"/>
        <v>0</v>
      </c>
      <c r="U44" s="181">
        <f t="shared" ca="1" si="10"/>
        <v>0</v>
      </c>
      <c r="V44" s="184">
        <f t="shared" ca="1" si="10"/>
        <v>0</v>
      </c>
      <c r="W44" s="184">
        <f t="shared" ca="1" si="10"/>
        <v>0</v>
      </c>
      <c r="X44" s="184">
        <f t="shared" ca="1" si="10"/>
        <v>0</v>
      </c>
      <c r="Y44" s="184">
        <f t="shared" ca="1" si="10"/>
        <v>0</v>
      </c>
      <c r="Z44" s="184">
        <f t="shared" ca="1" si="10"/>
        <v>0</v>
      </c>
      <c r="AA44" s="184">
        <f t="shared" ca="1" si="10"/>
        <v>0</v>
      </c>
      <c r="AB44" s="184">
        <f t="shared" ca="1" si="10"/>
        <v>0</v>
      </c>
      <c r="AC44" s="184">
        <f t="shared" ca="1" si="10"/>
        <v>0</v>
      </c>
      <c r="AD44" s="334">
        <f ca="1">SUM(INDIRECT(ADDRESS(ROW(),CELL("col",staffing_column_before_weeks)+1) &amp; ":" &amp; ADDRESS(ROW(),CELL("col", staffing_column_after_weeks)-1)))</f>
        <v>0</v>
      </c>
      <c r="AE44" s="339"/>
      <c r="AF44" s="341" t="s">
        <v>818</v>
      </c>
      <c r="AG44" s="212">
        <f ca="1">SUM(INDIRECT(ADDRESS(CELL("row", staffing_row_before_team)+1, COLUMN()) &amp; ":" &amp; ADDRESS(CELL("row", staffing_row_after_team)-1, COLUMN())))</f>
        <v>0</v>
      </c>
      <c r="AH44" s="181">
        <f ca="1">SUM(INDIRECT(ADDRESS(CELL("row", staffing_row_before_team)+1, COLUMN()) &amp; ":" &amp; ADDRESS(CELL("row", staffing_row_after_team)-1, COLUMN())))</f>
        <v>0</v>
      </c>
      <c r="AI44" s="49">
        <f ca="1">SUM(INDIRECT(ADDRESS(CELL("row", staffing_row_before_team)+1, COLUMN()) &amp; ":" &amp; ADDRESS(CELL("row", staffing_row_after_team)-1, COLUMN())))</f>
        <v>0</v>
      </c>
      <c r="AJ44" s="51"/>
    </row>
    <row r="45" spans="1:36" x14ac:dyDescent="0.25">
      <c r="B45" s="257" t="s">
        <v>102</v>
      </c>
      <c r="C45" s="258"/>
      <c r="D45" s="258"/>
      <c r="E45" s="258"/>
      <c r="F45" s="258"/>
      <c r="G45" s="386"/>
      <c r="H45" s="382"/>
      <c r="I45" s="376"/>
      <c r="J45" s="259">
        <f t="shared" ref="J45:AD45" ca="1" si="11">SUM(J22,J44)</f>
        <v>0</v>
      </c>
      <c r="K45" s="260">
        <f t="shared" ca="1" si="11"/>
        <v>0</v>
      </c>
      <c r="L45" s="260">
        <f t="shared" ca="1" si="11"/>
        <v>0</v>
      </c>
      <c r="M45" s="261">
        <f t="shared" ca="1" si="11"/>
        <v>0</v>
      </c>
      <c r="N45" s="262">
        <f t="shared" ca="1" si="11"/>
        <v>0</v>
      </c>
      <c r="O45" s="260">
        <f t="shared" ca="1" si="11"/>
        <v>0</v>
      </c>
      <c r="P45" s="260">
        <f t="shared" ca="1" si="11"/>
        <v>0</v>
      </c>
      <c r="Q45" s="261">
        <f t="shared" ca="1" si="11"/>
        <v>0</v>
      </c>
      <c r="R45" s="262">
        <f t="shared" ca="1" si="11"/>
        <v>0</v>
      </c>
      <c r="S45" s="260">
        <f t="shared" ca="1" si="11"/>
        <v>0</v>
      </c>
      <c r="T45" s="263">
        <f t="shared" ca="1" si="11"/>
        <v>0</v>
      </c>
      <c r="U45" s="261">
        <f t="shared" ca="1" si="11"/>
        <v>0</v>
      </c>
      <c r="V45" s="263">
        <f t="shared" ca="1" si="11"/>
        <v>0</v>
      </c>
      <c r="W45" s="263">
        <f t="shared" ca="1" si="11"/>
        <v>0</v>
      </c>
      <c r="X45" s="263">
        <f t="shared" ca="1" si="11"/>
        <v>0</v>
      </c>
      <c r="Y45" s="263">
        <f t="shared" ca="1" si="11"/>
        <v>0</v>
      </c>
      <c r="Z45" s="263">
        <f t="shared" ca="1" si="11"/>
        <v>0</v>
      </c>
      <c r="AA45" s="263">
        <f t="shared" ca="1" si="11"/>
        <v>0</v>
      </c>
      <c r="AB45" s="263">
        <f t="shared" ca="1" si="11"/>
        <v>0</v>
      </c>
      <c r="AC45" s="263">
        <f t="shared" ca="1" si="11"/>
        <v>0</v>
      </c>
      <c r="AD45" s="335">
        <f t="shared" ca="1" si="11"/>
        <v>0</v>
      </c>
      <c r="AE45" s="340"/>
      <c r="AF45" s="342" t="s">
        <v>819</v>
      </c>
      <c r="AG45" s="259">
        <f ca="1">SUM(AG22,AG44)</f>
        <v>0</v>
      </c>
      <c r="AH45" s="261">
        <f ca="1">SUM(AH22,AH44)</f>
        <v>0</v>
      </c>
      <c r="AI45" s="264">
        <f ca="1">IFERROR(SUM(AI22,AI44),0)</f>
        <v>0</v>
      </c>
      <c r="AJ45" s="265"/>
    </row>
  </sheetData>
  <dataConsolidate/>
  <mergeCells count="5">
    <mergeCell ref="B2:C2"/>
    <mergeCell ref="B3:C3"/>
    <mergeCell ref="B4:C4"/>
    <mergeCell ref="B5:C5"/>
    <mergeCell ref="AF7:AJ7"/>
  </mergeCells>
  <conditionalFormatting sqref="J9:U9 AD9 AD24:AD45 J24:U45 AD11:AD22 J11:U22">
    <cfRule type="expression" dxfId="43" priority="263">
      <formula>IF(AND(ISNUMBER(J$7),IF(MOD(J$7,4)=0,TRUE)),TRUE, FALSE)</formula>
    </cfRule>
    <cfRule type="containsBlanks" dxfId="42" priority="267">
      <formula>LEN(TRIM(J9))=0</formula>
    </cfRule>
  </conditionalFormatting>
  <conditionalFormatting sqref="AD25:AD43">
    <cfRule type="expression" dxfId="41" priority="260" stopIfTrue="1">
      <formula>IF(AND(ISNUMBER(AD$7),IF(MOD(AD$7,4)=0,TRUE)),TRUE, FALSE)</formula>
    </cfRule>
  </conditionalFormatting>
  <conditionalFormatting sqref="B11:B13 B24:B43 B15:B21">
    <cfRule type="cellIs" dxfId="40" priority="139" operator="equal">
      <formula>"WE"</formula>
    </cfRule>
    <cfRule type="cellIs" dxfId="39" priority="140" operator="equal">
      <formula>"W"</formula>
    </cfRule>
    <cfRule type="cellIs" dxfId="38" priority="141" operator="equal">
      <formula>"E"</formula>
    </cfRule>
  </conditionalFormatting>
  <conditionalFormatting sqref="AI22">
    <cfRule type="expression" dxfId="37" priority="137">
      <formula>IF(AND(ISNUMBER(AI$7),IF(MOD(AI$7,4)=0,TRUE)),TRUE, FALSE)</formula>
    </cfRule>
    <cfRule type="containsBlanks" dxfId="36" priority="138">
      <formula>LEN(TRIM(AI22))=0</formula>
    </cfRule>
  </conditionalFormatting>
  <conditionalFormatting sqref="AI44">
    <cfRule type="expression" dxfId="35" priority="133">
      <formula>IF(AND(ISNUMBER(AI$7),IF(MOD(AI$7,4)=0,TRUE)),TRUE, FALSE)</formula>
    </cfRule>
    <cfRule type="containsBlanks" dxfId="34" priority="134">
      <formula>LEN(TRIM(AI44))=0</formula>
    </cfRule>
  </conditionalFormatting>
  <conditionalFormatting sqref="AG45:AH45">
    <cfRule type="expression" dxfId="33" priority="131">
      <formula>IF(AND(ISNUMBER(AG$7),IF(MOD(AG$7,4)=0,TRUE)),TRUE, FALSE)</formula>
    </cfRule>
    <cfRule type="containsBlanks" dxfId="32" priority="132">
      <formula>LEN(TRIM(AG45))=0</formula>
    </cfRule>
  </conditionalFormatting>
  <conditionalFormatting sqref="AG44:AH44">
    <cfRule type="expression" dxfId="31" priority="129">
      <formula>IF(AND(ISNUMBER(AG$7),IF(MOD(AG$7,4)=0,TRUE)),TRUE, FALSE)</formula>
    </cfRule>
    <cfRule type="containsBlanks" dxfId="30" priority="130">
      <formula>LEN(TRIM(AG44))=0</formula>
    </cfRule>
  </conditionalFormatting>
  <conditionalFormatting sqref="AG22">
    <cfRule type="expression" dxfId="29" priority="127">
      <formula>IF(AND(ISNUMBER(AG$7),IF(MOD(AG$7,4)=0,TRUE)),TRUE, FALSE)</formula>
    </cfRule>
    <cfRule type="containsBlanks" dxfId="28" priority="128">
      <formula>LEN(TRIM(AG22))=0</formula>
    </cfRule>
  </conditionalFormatting>
  <conditionalFormatting sqref="E2">
    <cfRule type="expression" dxfId="27" priority="120" stopIfTrue="1">
      <formula>WEEKDAY(D2)&lt;&gt;2</formula>
    </cfRule>
  </conditionalFormatting>
  <conditionalFormatting sqref="E3">
    <cfRule type="expression" dxfId="26" priority="121" stopIfTrue="1">
      <formula>WEEKDAY(D3)&lt;&gt;6</formula>
    </cfRule>
  </conditionalFormatting>
  <conditionalFormatting sqref="F11:F21">
    <cfRule type="cellIs" dxfId="25" priority="96" operator="equal">
      <formula>data_role_doesnt_exist_msg</formula>
    </cfRule>
    <cfRule type="expression" dxfId="24" priority="97">
      <formula>AND($E11&lt;&gt;data_blank_value, $F11=data_blank_value)</formula>
    </cfRule>
  </conditionalFormatting>
  <conditionalFormatting sqref="B9">
    <cfRule type="cellIs" dxfId="23" priority="89" operator="equal">
      <formula>"WE"</formula>
    </cfRule>
    <cfRule type="cellIs" dxfId="22" priority="90" operator="equal">
      <formula>"W"</formula>
    </cfRule>
    <cfRule type="cellIs" dxfId="21" priority="91" operator="equal">
      <formula>"E"</formula>
    </cfRule>
  </conditionalFormatting>
  <conditionalFormatting sqref="B14">
    <cfRule type="cellIs" dxfId="20" priority="82" operator="equal">
      <formula>"WE"</formula>
    </cfRule>
    <cfRule type="cellIs" dxfId="19" priority="83" operator="equal">
      <formula>"W"</formula>
    </cfRule>
    <cfRule type="cellIs" dxfId="18" priority="84" operator="equal">
      <formula>"E"</formula>
    </cfRule>
  </conditionalFormatting>
  <conditionalFormatting sqref="V9:Y9 V24:Y45 V11:Y22">
    <cfRule type="expression" dxfId="17" priority="62">
      <formula>IF(AND(ISNUMBER(V$7),IF(MOD(V$7,4)=0,TRUE)),TRUE, FALSE)</formula>
    </cfRule>
    <cfRule type="containsBlanks" dxfId="16" priority="63">
      <formula>LEN(TRIM(V9))=0</formula>
    </cfRule>
  </conditionalFormatting>
  <conditionalFormatting sqref="Z9 Z24:Z45 Z11:Z22">
    <cfRule type="expression" dxfId="15" priority="60">
      <formula>IF(AND(ISNUMBER(Z$7),IF(MOD(Z$7,4)=0,TRUE)),TRUE, FALSE)</formula>
    </cfRule>
    <cfRule type="containsBlanks" dxfId="14" priority="61">
      <formula>LEN(TRIM(Z9))=0</formula>
    </cfRule>
  </conditionalFormatting>
  <conditionalFormatting sqref="AA9 AA24:AA45 AA11:AA22">
    <cfRule type="expression" dxfId="13" priority="58">
      <formula>IF(AND(ISNUMBER(AA$7),IF(MOD(AA$7,4)=0,TRUE)),TRUE, FALSE)</formula>
    </cfRule>
    <cfRule type="containsBlanks" dxfId="12" priority="59">
      <formula>LEN(TRIM(AA9))=0</formula>
    </cfRule>
  </conditionalFormatting>
  <conditionalFormatting sqref="AB9 AB24:AB45 AB11:AB22">
    <cfRule type="expression" dxfId="11" priority="56">
      <formula>IF(AND(ISNUMBER(AB$7),IF(MOD(AB$7,4)=0,TRUE)),TRUE, FALSE)</formula>
    </cfRule>
    <cfRule type="containsBlanks" dxfId="10" priority="57">
      <formula>LEN(TRIM(AB9))=0</formula>
    </cfRule>
  </conditionalFormatting>
  <conditionalFormatting sqref="AC9 AC24:AC45 AC11:AC22">
    <cfRule type="expression" dxfId="9" priority="54">
      <formula>IF(AND(ISNUMBER(AC$7),IF(MOD(AC$7,4)=0,TRUE)),TRUE, FALSE)</formula>
    </cfRule>
    <cfRule type="containsBlanks" dxfId="8" priority="55">
      <formula>LEN(TRIM(AC9))=0</formula>
    </cfRule>
  </conditionalFormatting>
  <conditionalFormatting sqref="F24:F43">
    <cfRule type="cellIs" dxfId="7" priority="94" operator="equal">
      <formula>data_role_doesnt_exist_msg</formula>
    </cfRule>
    <cfRule type="expression" dxfId="6" priority="95">
      <formula>AND($E24&lt;&gt;data_blank_value, $F24=data_blank_value)</formula>
    </cfRule>
  </conditionalFormatting>
  <conditionalFormatting sqref="F9">
    <cfRule type="cellIs" dxfId="5" priority="18" operator="equal">
      <formula>data_role_doesnt_exist_msg</formula>
    </cfRule>
    <cfRule type="expression" dxfId="4" priority="19">
      <formula>AND($E9&lt;&gt;data_blank_value, $F9=data_blank_value)</formula>
    </cfRule>
  </conditionalFormatting>
  <dataValidations count="8">
    <dataValidation type="list" allowBlank="1" showInputMessage="1" showErrorMessage="1" sqref="D9 D24:D43 D11:D21">
      <formula1>IF(C9="",list_offices,IF(C9="Local",list_offices_local,list_offices_india))</formula1>
    </dataValidation>
    <dataValidation type="list" allowBlank="1" showInputMessage="1" showErrorMessage="1" sqref="C24:C43 C9 C11:C21">
      <formula1>IF(ISNUMBER(MATCH(D9,list_offices_local,0)),list_bill_rate_local,IF(ISNUMBER(MATCH(D9,list_offices_india,0)),list_bill_rate_india,list_bill_rate_categories))</formula1>
    </dataValidation>
    <dataValidation type="date" operator="greaterThan" allowBlank="1" showInputMessage="1" showErrorMessage="1" errorTitle="End Date" error="Can't be less than Start Date." sqref="F3:G3">
      <formula1>F1</formula1>
    </dataValidation>
    <dataValidation type="list" allowBlank="1" showInputMessage="1" showErrorMessage="1" sqref="E24:E43 E9 E11:E21">
      <formula1>IF(project_delivery_select="Delivery",list_titles_delivery,list_titles_non_delivery)</formula1>
    </dataValidation>
    <dataValidation type="list" allowBlank="1" showInputMessage="1" showErrorMessage="1" sqref="H24:H43 H9 H11:H21">
      <formula1>list_project_tracks</formula1>
    </dataValidation>
    <dataValidation type="list" allowBlank="1" showInputMessage="1" showErrorMessage="1" sqref="F9 F24:F43 F11:F21">
      <formula1>OFFSET(data_rolename_title_location,MATCH($E9,list_title_for_mapping,0)-1,,COUNTIF(list_title_for_mapping,$E9))</formula1>
    </dataValidation>
    <dataValidation type="list" allowBlank="1" showInputMessage="1" showErrorMessage="1" sqref="G9 G24:G43 G11:G21">
      <formula1>list_Phase</formula1>
    </dataValidation>
    <dataValidation type="list" allowBlank="1" showInputMessage="1" showErrorMessage="1" sqref="I9 I24:I43 I11:I21">
      <formula1>list_Release</formula1>
    </dataValidation>
  </dataValidations>
  <pageMargins left="0.39370078740157499" right="0.39370078740157499" top="0.59055118110236204" bottom="0.59055118110236204" header="0.196850393700787" footer="0.196850393700787"/>
  <pageSetup scale="34" orientation="portrait"/>
  <headerFooter>
    <oddFooter>&amp;L&amp;"Calibri,Regular"&amp;9&amp;D&amp;C&amp;"Calibri,Regular"&amp;9&amp;GSapient Confidential
   &amp;6        Estimation Tool V5.0.0&amp;R&amp;9Page &amp;P</oddFoot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addNewWeekToStaffingPlan">
                <anchor moveWithCells="1" sizeWithCells="1">
                  <from>
                    <xdr:col>5</xdr:col>
                    <xdr:colOff>238125</xdr:colOff>
                    <xdr:row>3</xdr:row>
                    <xdr:rowOff>28575</xdr:rowOff>
                  </from>
                  <to>
                    <xdr:col>7</xdr:col>
                    <xdr:colOff>28575</xdr:colOff>
                    <xdr:row>4</xdr:row>
                    <xdr:rowOff>152400</xdr:rowOff>
                  </to>
                </anchor>
              </controlPr>
            </control>
          </mc:Choice>
        </mc:AlternateContent>
        <mc:AlternateContent xmlns:mc="http://schemas.openxmlformats.org/markup-compatibility/2006">
          <mc:Choice Requires="x14">
            <control shapeId="11276" r:id="rId5" name="Button 12">
              <controlPr defaultSize="0" print="0" autoFill="0" autoPict="0" macro="[0]!exportStaffingPlanForDealTool">
                <anchor moveWithCells="1" sizeWithCells="1">
                  <from>
                    <xdr:col>5</xdr:col>
                    <xdr:colOff>228600</xdr:colOff>
                    <xdr:row>1</xdr:row>
                    <xdr:rowOff>0</xdr:rowOff>
                  </from>
                  <to>
                    <xdr:col>7</xdr:col>
                    <xdr:colOff>9525</xdr:colOff>
                    <xdr:row>2</xdr:row>
                    <xdr:rowOff>66675</xdr:rowOff>
                  </to>
                </anchor>
              </controlPr>
            </control>
          </mc:Choice>
        </mc:AlternateContent>
        <mc:AlternateContent xmlns:mc="http://schemas.openxmlformats.org/markup-compatibility/2006">
          <mc:Choice Requires="x14">
            <control shapeId="11278" r:id="rId6" name="Button 14">
              <controlPr defaultSize="0" print="0" autoFill="0" autoPict="0" macro="[0]!startDate">
                <anchor moveWithCells="1" sizeWithCells="1">
                  <from>
                    <xdr:col>3</xdr:col>
                    <xdr:colOff>885825</xdr:colOff>
                    <xdr:row>1</xdr:row>
                    <xdr:rowOff>9525</xdr:rowOff>
                  </from>
                  <to>
                    <xdr:col>3</xdr:col>
                    <xdr:colOff>1057275</xdr:colOff>
                    <xdr:row>1</xdr:row>
                    <xdr:rowOff>304800</xdr:rowOff>
                  </to>
                </anchor>
              </controlPr>
            </control>
          </mc:Choice>
        </mc:AlternateContent>
        <mc:AlternateContent xmlns:mc="http://schemas.openxmlformats.org/markup-compatibility/2006">
          <mc:Choice Requires="x14">
            <control shapeId="11279" r:id="rId7" name="Button 15">
              <controlPr defaultSize="0" print="0" autoFill="0" autoPict="0" macro="[0]!endDate">
                <anchor moveWithCells="1" sizeWithCells="1">
                  <from>
                    <xdr:col>3</xdr:col>
                    <xdr:colOff>885825</xdr:colOff>
                    <xdr:row>2</xdr:row>
                    <xdr:rowOff>0</xdr:rowOff>
                  </from>
                  <to>
                    <xdr:col>3</xdr:col>
                    <xdr:colOff>1057275</xdr:colOff>
                    <xdr:row>2</xdr:row>
                    <xdr:rowOff>295275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pageSetUpPr fitToPage="1"/>
  </sheetPr>
  <dimension ref="A1:U16"/>
  <sheetViews>
    <sheetView showGridLines="0" topLeftCell="E1" workbookViewId="0">
      <selection activeCell="H18" sqref="H18"/>
    </sheetView>
  </sheetViews>
  <sheetFormatPr defaultColWidth="8.875" defaultRowHeight="15.75" x14ac:dyDescent="0.25"/>
  <cols>
    <col min="1" max="1" width="0.875" customWidth="1"/>
    <col min="2" max="2" width="12.5" customWidth="1"/>
    <col min="3" max="3" width="10.125" customWidth="1"/>
    <col min="4" max="4" width="9.875" customWidth="1"/>
    <col min="5" max="5" width="7.375" customWidth="1"/>
    <col min="6" max="6" width="8.125" customWidth="1"/>
    <col min="7" max="9" width="10.625" customWidth="1"/>
    <col min="10" max="10" width="6.125" bestFit="1" customWidth="1"/>
    <col min="11" max="11" width="12.375" bestFit="1" customWidth="1"/>
    <col min="12" max="12" width="14.5" customWidth="1"/>
    <col min="13" max="13" width="12.875" customWidth="1"/>
    <col min="14" max="14" width="2.125" customWidth="1"/>
    <col min="15" max="15" width="12" customWidth="1"/>
    <col min="16" max="16" width="11.75" customWidth="1"/>
    <col min="17" max="17" width="4.75" customWidth="1"/>
    <col min="18" max="18" width="4.375" customWidth="1"/>
    <col min="19" max="19" width="12" bestFit="1" customWidth="1"/>
    <col min="20" max="20" width="6.75" customWidth="1"/>
    <col min="21" max="21" width="8.75" customWidth="1"/>
    <col min="22" max="22" width="6.625" customWidth="1"/>
    <col min="23" max="23" width="8.625" customWidth="1"/>
  </cols>
  <sheetData>
    <row r="1" spans="1:21" ht="47.25" customHeight="1" x14ac:dyDescent="0.25">
      <c r="A1" s="4"/>
      <c r="B1" s="348" t="str">
        <f>track_loe_header_cell &amp;" LOE Summary"</f>
        <v>Track LOE Summary</v>
      </c>
      <c r="C1" s="348"/>
      <c r="D1" s="349" t="str">
        <f>project_headline</f>
        <v>CAI Cycle 7 Stage I QA | Estimation</v>
      </c>
      <c r="E1" s="4"/>
    </row>
    <row r="2" spans="1:21" ht="18.75" customHeight="1" x14ac:dyDescent="0.25">
      <c r="B2" s="4" t="s">
        <v>1200</v>
      </c>
      <c r="O2" s="360"/>
      <c r="P2" s="5"/>
      <c r="Q2" s="5"/>
      <c r="R2" s="5"/>
      <c r="S2" s="360"/>
      <c r="U2" s="395"/>
    </row>
    <row r="3" spans="1:21" ht="15.75" customHeight="1" x14ac:dyDescent="0.25">
      <c r="B3" s="398" t="s">
        <v>1202</v>
      </c>
      <c r="C3" s="399" t="s">
        <v>30</v>
      </c>
      <c r="O3" s="360" t="s">
        <v>1283</v>
      </c>
      <c r="R3" s="5"/>
      <c r="S3" s="360" t="s">
        <v>1284</v>
      </c>
      <c r="U3" s="395"/>
    </row>
    <row r="4" spans="1:21" x14ac:dyDescent="0.25">
      <c r="B4" s="400"/>
      <c r="G4" s="5"/>
      <c r="H4" s="394"/>
      <c r="I4" s="5"/>
      <c r="M4" s="5"/>
      <c r="R4" s="5"/>
      <c r="S4" s="19"/>
      <c r="T4" s="19"/>
      <c r="U4" s="395"/>
    </row>
    <row r="5" spans="1:21" ht="25.5" x14ac:dyDescent="0.25">
      <c r="A5" s="6"/>
      <c r="B5" s="413" t="str">
        <f>C3</f>
        <v>Track</v>
      </c>
      <c r="C5" s="414" t="s">
        <v>78</v>
      </c>
      <c r="D5" s="415" t="s">
        <v>79</v>
      </c>
      <c r="E5" s="373" t="s">
        <v>80</v>
      </c>
      <c r="F5" s="373" t="s">
        <v>528</v>
      </c>
      <c r="G5" s="373" t="s">
        <v>81</v>
      </c>
      <c r="H5" s="373" t="s">
        <v>82</v>
      </c>
      <c r="I5" s="373" t="s">
        <v>1194</v>
      </c>
      <c r="J5" s="373" t="s">
        <v>1195</v>
      </c>
      <c r="K5" s="373" t="s">
        <v>1196</v>
      </c>
      <c r="L5" s="373" t="s">
        <v>1197</v>
      </c>
      <c r="M5" s="416" t="s">
        <v>35</v>
      </c>
      <c r="N5" s="372"/>
      <c r="O5" s="402" t="s">
        <v>30</v>
      </c>
      <c r="P5" s="397" t="s">
        <v>1281</v>
      </c>
      <c r="R5" s="5"/>
      <c r="S5" s="450" t="s">
        <v>543</v>
      </c>
      <c r="T5" s="451" t="s">
        <v>1281</v>
      </c>
    </row>
    <row r="6" spans="1:21" x14ac:dyDescent="0.25">
      <c r="A6" s="24"/>
      <c r="B6" s="443" t="s">
        <v>1323</v>
      </c>
      <c r="C6" s="418">
        <f t="shared" ref="C6:C14" si="0">IF(ISBLANK(B6),"",IF(track_loe_header_cell="Track",(SUMIF(stories_track_list_lookup,B6,stories_buffered_loe_lookup)),IF(track_loe_header_cell="Phase",(SUMIF(Stories_phase_list_lookup,B6,stories_buffered_loe_lookup)),(SUMIF(stories_release_list_lookup,B6,stories_buffered_loe_lookup)))))</f>
        <v>1.9</v>
      </c>
      <c r="D6" s="418">
        <f t="shared" ref="D6:D14" si="1">IF(ISBLANK(B6),"",IF(track_loe_header_cell="Track",(SUMIF(addins_track_list_lookup,B6,addins_impact_loe_lookup)),IF(track_loe_header_cell="Phase",(SUMIF(addins_phase_list_lookup,B6,addins_impact_loe_lookup)),(SUMIF(addins_release_list_lookup,B6,addins_impact_loe_lookup)))))</f>
        <v>0</v>
      </c>
      <c r="E6" s="418">
        <f t="shared" ref="E6:E14" si="2">IF(ISBLANK(B6),"",IF(track_loe_header_cell="Track",(SUMIF(risks_track_list_lookup,B6,risks_risk_buffer_lookup)),IF(track_loe_header_cell="Phase",(SUMIF(risks_phase_list_lookup,B6,risks_risk_buffer_lookup)),(SUMIF(risks_release_list_lookup,B6,risks_risk_buffer_lookup)))))</f>
        <v>0</v>
      </c>
      <c r="F6" s="419">
        <f t="shared" ref="F6:F14" si="3">IF(ISBLANK(B6),"",SUM(C6:E6))</f>
        <v>1.9</v>
      </c>
      <c r="G6" s="418">
        <f t="shared" ref="G6:G14" ca="1" si="4">IF(ISBLANK(B6),"",IF(track_loe_header_cell="Track",(SUMIF(staffing_track_list_lookup,B6,staffing_total_loe_lookup)),IF(track_loe_header_cell="Phase",(SUMIF(staffing_phase_list_lookup,B6,staffing_total_loe_lookup)),(SUMIF(staffing_release_list_lookup,B6,staffing_total_loe_lookup)))))</f>
        <v>0</v>
      </c>
      <c r="H6" s="420">
        <f ca="1">IF(ISBLANK(B6),"",G6-F6)</f>
        <v>-1.9</v>
      </c>
      <c r="I6" s="421">
        <f>IF(ISBLANK(B6),"",IF(ISERROR(D6/C6),0,D6/C6))</f>
        <v>0</v>
      </c>
      <c r="J6" s="421">
        <f>IF(ISBLANK(B6),"",IF(ISERROR(E6/C6),0,E6/C6))</f>
        <v>0</v>
      </c>
      <c r="K6" s="422">
        <f>IF(ISBLANK(B6),"",IF(ISERROR(E6+D6),0,E6+D6))</f>
        <v>0</v>
      </c>
      <c r="L6" s="421">
        <f>IF(ISBLANK(B6),"",IF(ISERROR(K6/C6),0,K6/C6))</f>
        <v>0</v>
      </c>
      <c r="M6" s="432"/>
      <c r="N6" s="5"/>
      <c r="O6" s="402" t="s">
        <v>1190</v>
      </c>
      <c r="P6" s="397" t="s">
        <v>1204</v>
      </c>
      <c r="Q6" s="395"/>
      <c r="R6" s="5"/>
    </row>
    <row r="7" spans="1:21" x14ac:dyDescent="0.25">
      <c r="B7" s="543" t="s">
        <v>1314</v>
      </c>
      <c r="C7" s="424">
        <f t="shared" si="0"/>
        <v>0</v>
      </c>
      <c r="D7" s="424">
        <f t="shared" si="1"/>
        <v>0</v>
      </c>
      <c r="E7" s="424">
        <f t="shared" si="2"/>
        <v>0</v>
      </c>
      <c r="F7" s="425">
        <f t="shared" si="3"/>
        <v>0</v>
      </c>
      <c r="G7" s="424">
        <f t="shared" ca="1" si="4"/>
        <v>0</v>
      </c>
      <c r="H7" s="417">
        <f t="shared" ref="H7" ca="1" si="5">IF(ISBLANK(B7),"",G7-F7)</f>
        <v>0</v>
      </c>
      <c r="I7" s="426">
        <f t="shared" ref="I7" si="6">IF(ISBLANK(B7),"",IF(ISERROR(D7/C7),0,D7/C7))</f>
        <v>0</v>
      </c>
      <c r="J7" s="426">
        <f t="shared" ref="J7" si="7">IF(ISBLANK(B7),"",IF(ISERROR(E7/C7),0,E7/C7))</f>
        <v>0</v>
      </c>
      <c r="K7" s="427">
        <f t="shared" ref="K7" si="8">IF(ISBLANK(B7),"",IF(ISERROR(E7+D7),0,E7+D7))</f>
        <v>0</v>
      </c>
      <c r="L7" s="426">
        <f t="shared" ref="L7" si="9">IF(ISBLANK(B7),"",IF(ISERROR(K7/C7),0,K7/C7))</f>
        <v>0</v>
      </c>
      <c r="M7" s="433"/>
      <c r="N7" s="5"/>
      <c r="O7" s="464" t="s">
        <v>543</v>
      </c>
      <c r="P7" s="397" t="s">
        <v>1281</v>
      </c>
      <c r="Q7" s="395"/>
      <c r="R7" s="5"/>
      <c r="S7" s="401" t="s">
        <v>1199</v>
      </c>
      <c r="T7" s="545" t="s">
        <v>1190</v>
      </c>
      <c r="U7" s="396"/>
    </row>
    <row r="8" spans="1:21" x14ac:dyDescent="0.25">
      <c r="B8" s="543" t="s">
        <v>1324</v>
      </c>
      <c r="C8" s="424">
        <f t="shared" si="0"/>
        <v>0</v>
      </c>
      <c r="D8" s="424">
        <f t="shared" si="1"/>
        <v>0</v>
      </c>
      <c r="E8" s="424">
        <f t="shared" si="2"/>
        <v>0</v>
      </c>
      <c r="F8" s="425">
        <f t="shared" si="3"/>
        <v>0</v>
      </c>
      <c r="G8" s="424">
        <f t="shared" ca="1" si="4"/>
        <v>0</v>
      </c>
      <c r="H8" s="417">
        <f t="shared" ref="H8" ca="1" si="10">IF(ISBLANK(B8),"",G8-F8)</f>
        <v>0</v>
      </c>
      <c r="I8" s="426">
        <f t="shared" ref="I8" si="11">IF(ISBLANK(B8),"",IF(ISERROR(D8/C8),0,D8/C8))</f>
        <v>0</v>
      </c>
      <c r="J8" s="426">
        <f t="shared" ref="J8" si="12">IF(ISBLANK(B8),"",IF(ISERROR(E8/C8),0,E8/C8))</f>
        <v>0</v>
      </c>
      <c r="K8" s="427">
        <f t="shared" ref="K8" si="13">IF(ISBLANK(B8),"",IF(ISERROR(E8+D8),0,E8+D8))</f>
        <v>0</v>
      </c>
      <c r="L8" s="426">
        <f t="shared" ref="L8" si="14">IF(ISBLANK(B8),"",IF(ISERROR(K8/C8),0,K8/C8))</f>
        <v>0</v>
      </c>
      <c r="M8" s="433"/>
      <c r="N8" s="5"/>
      <c r="O8" s="19"/>
      <c r="P8" s="19"/>
      <c r="Q8" s="395"/>
      <c r="R8" s="5"/>
      <c r="S8" s="402" t="s">
        <v>30</v>
      </c>
      <c r="T8" s="404" t="s">
        <v>1204</v>
      </c>
      <c r="U8" s="405" t="s">
        <v>1198</v>
      </c>
    </row>
    <row r="9" spans="1:21" x14ac:dyDescent="0.25">
      <c r="B9" s="543" t="s">
        <v>157</v>
      </c>
      <c r="C9" s="424">
        <f t="shared" si="0"/>
        <v>0</v>
      </c>
      <c r="D9" s="424">
        <f t="shared" si="1"/>
        <v>0</v>
      </c>
      <c r="E9" s="424">
        <f t="shared" si="2"/>
        <v>0</v>
      </c>
      <c r="F9" s="425">
        <f t="shared" si="3"/>
        <v>0</v>
      </c>
      <c r="G9" s="424">
        <f t="shared" ca="1" si="4"/>
        <v>0</v>
      </c>
      <c r="H9" s="417">
        <f t="shared" ref="H9" ca="1" si="15">IF(ISBLANK(B9),"",G9-F9)</f>
        <v>0</v>
      </c>
      <c r="I9" s="426">
        <f t="shared" ref="I9" si="16">IF(ISBLANK(B9),"",IF(ISERROR(D9/C9),0,D9/C9))</f>
        <v>0</v>
      </c>
      <c r="J9" s="426">
        <f t="shared" ref="J9" si="17">IF(ISBLANK(B9),"",IF(ISERROR(E9/C9),0,E9/C9))</f>
        <v>0</v>
      </c>
      <c r="K9" s="427">
        <f t="shared" ref="K9" si="18">IF(ISBLANK(B9),"",IF(ISERROR(E9+D9),0,E9+D9))</f>
        <v>0</v>
      </c>
      <c r="L9" s="426">
        <f t="shared" ref="L9" si="19">IF(ISBLANK(B9),"",IF(ISERROR(K9/C9),0,K9/C9))</f>
        <v>0</v>
      </c>
      <c r="M9" s="433"/>
      <c r="N9" s="5"/>
      <c r="O9" s="406" t="s">
        <v>1199</v>
      </c>
      <c r="P9" s="403"/>
      <c r="Q9" s="397"/>
      <c r="R9" s="5"/>
      <c r="S9" s="404" t="s">
        <v>1204</v>
      </c>
      <c r="T9" s="412">
        <v>69</v>
      </c>
      <c r="U9" s="407">
        <v>69</v>
      </c>
    </row>
    <row r="10" spans="1:21" x14ac:dyDescent="0.25">
      <c r="B10" s="543" t="s">
        <v>1322</v>
      </c>
      <c r="C10" s="424">
        <f t="shared" si="0"/>
        <v>0</v>
      </c>
      <c r="D10" s="424">
        <f t="shared" si="1"/>
        <v>0</v>
      </c>
      <c r="E10" s="424">
        <f t="shared" si="2"/>
        <v>0</v>
      </c>
      <c r="F10" s="425">
        <f t="shared" si="3"/>
        <v>0</v>
      </c>
      <c r="G10" s="424">
        <f t="shared" ca="1" si="4"/>
        <v>0</v>
      </c>
      <c r="H10" s="417">
        <f t="shared" ref="H10" ca="1" si="20">IF(ISBLANK(B10),"",G10-F10)</f>
        <v>0</v>
      </c>
      <c r="I10" s="426">
        <f t="shared" ref="I10" si="21">IF(ISBLANK(B10),"",IF(ISERROR(D10/C10),0,D10/C10))</f>
        <v>0</v>
      </c>
      <c r="J10" s="426">
        <f t="shared" ref="J10" si="22">IF(ISBLANK(B10),"",IF(ISERROR(E10/C10),0,E10/C10))</f>
        <v>0</v>
      </c>
      <c r="K10" s="427">
        <f t="shared" ref="K10" si="23">IF(ISBLANK(B10),"",IF(ISERROR(E10+D10),0,E10+D10))</f>
        <v>0</v>
      </c>
      <c r="L10" s="426">
        <f t="shared" ref="L10" si="24">IF(ISBLANK(B10),"",IF(ISERROR(K10/C10),0,K10/C10))</f>
        <v>0</v>
      </c>
      <c r="M10" s="433"/>
      <c r="N10" s="5"/>
      <c r="O10" s="410" t="s">
        <v>29</v>
      </c>
      <c r="P10" s="411" t="s">
        <v>1193</v>
      </c>
      <c r="Q10" s="397" t="s">
        <v>1203</v>
      </c>
      <c r="R10" s="5"/>
      <c r="S10" s="404" t="s">
        <v>1323</v>
      </c>
      <c r="T10" s="412">
        <v>1.9</v>
      </c>
      <c r="U10" s="407">
        <v>1.9</v>
      </c>
    </row>
    <row r="11" spans="1:21" x14ac:dyDescent="0.25">
      <c r="B11" s="543"/>
      <c r="C11" s="424" t="str">
        <f t="shared" si="0"/>
        <v/>
      </c>
      <c r="D11" s="424" t="str">
        <f t="shared" si="1"/>
        <v/>
      </c>
      <c r="E11" s="424" t="str">
        <f t="shared" si="2"/>
        <v/>
      </c>
      <c r="F11" s="425" t="str">
        <f t="shared" si="3"/>
        <v/>
      </c>
      <c r="G11" s="424" t="str">
        <f t="shared" si="4"/>
        <v/>
      </c>
      <c r="H11" s="417" t="str">
        <f t="shared" ref="H11" si="25">IF(ISBLANK(B11),"",G11-F11)</f>
        <v/>
      </c>
      <c r="I11" s="426" t="str">
        <f t="shared" ref="I11" si="26">IF(ISBLANK(B11),"",IF(ISERROR(D11/C11),0,D11/C11))</f>
        <v/>
      </c>
      <c r="J11" s="426" t="str">
        <f t="shared" ref="J11" si="27">IF(ISBLANK(B11),"",IF(ISERROR(E11/C11),0,E11/C11))</f>
        <v/>
      </c>
      <c r="K11" s="427" t="str">
        <f t="shared" ref="K11" si="28">IF(ISBLANK(B11),"",IF(ISERROR(E11+D11),0,E11+D11))</f>
        <v/>
      </c>
      <c r="L11" s="426" t="str">
        <f t="shared" ref="L11" si="29">IF(ISBLANK(B11),"",IF(ISERROR(K11/C11),0,K11/C11))</f>
        <v/>
      </c>
      <c r="M11" s="433"/>
      <c r="N11" s="5"/>
      <c r="O11" s="404" t="s">
        <v>1204</v>
      </c>
      <c r="P11" s="403"/>
      <c r="Q11" s="407">
        <v>70.899999999999991</v>
      </c>
      <c r="R11" s="5"/>
      <c r="S11" s="409" t="s">
        <v>1198</v>
      </c>
      <c r="T11" s="463">
        <v>70.900000000000006</v>
      </c>
      <c r="U11" s="452">
        <v>70.900000000000006</v>
      </c>
    </row>
    <row r="12" spans="1:21" x14ac:dyDescent="0.25">
      <c r="B12" s="435"/>
      <c r="C12" s="424" t="str">
        <f t="shared" si="0"/>
        <v/>
      </c>
      <c r="D12" s="424" t="str">
        <f t="shared" si="1"/>
        <v/>
      </c>
      <c r="E12" s="424" t="str">
        <f t="shared" si="2"/>
        <v/>
      </c>
      <c r="F12" s="425" t="str">
        <f t="shared" si="3"/>
        <v/>
      </c>
      <c r="G12" s="424" t="str">
        <f t="shared" si="4"/>
        <v/>
      </c>
      <c r="H12" s="417" t="str">
        <f t="shared" ref="H12" si="30">IF(ISBLANK(B12),"",G12-F12)</f>
        <v/>
      </c>
      <c r="I12" s="426" t="str">
        <f t="shared" ref="I12" si="31">IF(ISBLANK(B12),"",IF(ISERROR(D12/C12),0,D12/C12))</f>
        <v/>
      </c>
      <c r="J12" s="426" t="str">
        <f t="shared" ref="J12" si="32">IF(ISBLANK(B12),"",IF(ISERROR(E12/C12),0,E12/C12))</f>
        <v/>
      </c>
      <c r="K12" s="427" t="str">
        <f t="shared" ref="K12" si="33">IF(ISBLANK(B12),"",IF(ISERROR(E12+D12),0,E12+D12))</f>
        <v/>
      </c>
      <c r="L12" s="426" t="str">
        <f t="shared" ref="L12" si="34">IF(ISBLANK(B12),"",IF(ISERROR(K12/C12),0,K12/C12))</f>
        <v/>
      </c>
      <c r="M12" s="433"/>
      <c r="N12" s="5"/>
      <c r="O12" s="408" t="s">
        <v>1198</v>
      </c>
      <c r="P12" s="409"/>
      <c r="Q12" s="407">
        <v>70.899999999999991</v>
      </c>
      <c r="R12" s="5"/>
    </row>
    <row r="13" spans="1:21" x14ac:dyDescent="0.25">
      <c r="B13" s="435"/>
      <c r="C13" s="424" t="str">
        <f t="shared" si="0"/>
        <v/>
      </c>
      <c r="D13" s="424" t="str">
        <f t="shared" si="1"/>
        <v/>
      </c>
      <c r="E13" s="424" t="str">
        <f t="shared" si="2"/>
        <v/>
      </c>
      <c r="F13" s="425" t="str">
        <f t="shared" si="3"/>
        <v/>
      </c>
      <c r="G13" s="424" t="str">
        <f t="shared" si="4"/>
        <v/>
      </c>
      <c r="H13" s="417" t="str">
        <f t="shared" ref="H13" si="35">IF(ISBLANK(B13),"",G13-F13)</f>
        <v/>
      </c>
      <c r="I13" s="426" t="str">
        <f t="shared" ref="I13" si="36">IF(ISBLANK(B13),"",IF(ISERROR(D13/C13),0,D13/C13))</f>
        <v/>
      </c>
      <c r="J13" s="426" t="str">
        <f t="shared" ref="J13" si="37">IF(ISBLANK(B13),"",IF(ISERROR(E13/C13),0,E13/C13))</f>
        <v/>
      </c>
      <c r="K13" s="427" t="str">
        <f t="shared" ref="K13" si="38">IF(ISBLANK(B13),"",IF(ISERROR(E13+D13),0,E13+D13))</f>
        <v/>
      </c>
      <c r="L13" s="426" t="str">
        <f t="shared" ref="L13" si="39">IF(ISBLANK(B13),"",IF(ISERROR(K13/C13),0,K13/C13))</f>
        <v/>
      </c>
      <c r="M13" s="433"/>
      <c r="N13" s="5"/>
      <c r="R13" s="5"/>
    </row>
    <row r="14" spans="1:21" x14ac:dyDescent="0.25">
      <c r="B14" s="435"/>
      <c r="C14" s="424" t="str">
        <f t="shared" si="0"/>
        <v/>
      </c>
      <c r="D14" s="424" t="str">
        <f t="shared" si="1"/>
        <v/>
      </c>
      <c r="E14" s="424" t="str">
        <f t="shared" si="2"/>
        <v/>
      </c>
      <c r="F14" s="425" t="str">
        <f t="shared" si="3"/>
        <v/>
      </c>
      <c r="G14" s="424" t="str">
        <f t="shared" si="4"/>
        <v/>
      </c>
      <c r="H14" s="417" t="str">
        <f t="shared" ref="H14" si="40">IF(ISBLANK(B14),"",G14-F14)</f>
        <v/>
      </c>
      <c r="I14" s="426" t="str">
        <f t="shared" ref="I14" si="41">IF(ISBLANK(B14),"",IF(ISERROR(D14/C14),0,D14/C14))</f>
        <v/>
      </c>
      <c r="J14" s="426" t="str">
        <f t="shared" ref="J14" si="42">IF(ISBLANK(B14),"",IF(ISERROR(E14/C14),0,E14/C14))</f>
        <v/>
      </c>
      <c r="K14" s="427" t="str">
        <f t="shared" ref="K14" si="43">IF(ISBLANK(B14),"",IF(ISERROR(E14+D14),0,E14+D14))</f>
        <v/>
      </c>
      <c r="L14" s="426" t="str">
        <f t="shared" ref="L14" si="44">IF(ISBLANK(B14),"",IF(ISERROR(K14/C14),0,K14/C14))</f>
        <v/>
      </c>
      <c r="M14" s="433"/>
    </row>
    <row r="15" spans="1:21" x14ac:dyDescent="0.25">
      <c r="B15" s="435"/>
      <c r="C15" s="424" t="str">
        <f t="shared" ref="C15:C16" si="45">IF(ISBLANK(B15),"",IF(track_loe_header_cell="Track",(SUMIF(stories_track_list_lookup,B15,stories_buffered_loe_lookup)),IF(track_loe_header_cell="Phase",(SUMIF(Stories_phase_list_lookup,B15,stories_buffered_loe_lookup)),(SUMIF(stories_release_list_lookup,B15,stories_buffered_loe_lookup)))))</f>
        <v/>
      </c>
      <c r="D15" s="424" t="str">
        <f t="shared" ref="D15:D16" si="46">IF(ISBLANK(B15),"",IF(track_loe_header_cell="Track",(SUMIF(addins_track_list_lookup,B15,addins_impact_loe_lookup)),IF(track_loe_header_cell="Phase",(SUMIF(addins_phase_list_lookup,B15,addins_impact_loe_lookup)),(SUMIF(addins_release_list_lookup,B15,addins_impact_loe_lookup)))))</f>
        <v/>
      </c>
      <c r="E15" s="424" t="str">
        <f t="shared" ref="E15:E16" si="47">IF(ISBLANK(B15),"",IF(track_loe_header_cell="Track",(SUMIF(risks_track_list_lookup,B15,risks_risk_buffer_lookup)),IF(track_loe_header_cell="Phase",(SUMIF(risks_phase_list_lookup,B15,risks_risk_buffer_lookup)),(SUMIF(risks_release_list_lookup,B15,risks_risk_buffer_lookup)))))</f>
        <v/>
      </c>
      <c r="F15" s="425" t="str">
        <f t="shared" ref="F15:F16" si="48">IF(ISBLANK(B15),"",SUM(C15:E15))</f>
        <v/>
      </c>
      <c r="G15" s="424" t="str">
        <f t="shared" ref="G15:G16" si="49">IF(ISBLANK(B15),"",IF(track_loe_header_cell="Track",(SUMIF(staffing_track_list_lookup,B15,staffing_total_loe_lookup)),IF(track_loe_header_cell="Phase",(SUMIF(staffing_phase_list_lookup,B15,staffing_total_loe_lookup)),(SUMIF(staffing_release_list_lookup,B15,staffing_total_loe_lookup)))))</f>
        <v/>
      </c>
      <c r="H15" s="417" t="str">
        <f t="shared" ref="H15:H16" si="50">IF(ISBLANK(B15),"",G15-F15)</f>
        <v/>
      </c>
      <c r="I15" s="426" t="str">
        <f t="shared" ref="I15:I16" si="51">IF(ISBLANK(B15),"",IF(ISERROR(D15/C15),0,D15/C15))</f>
        <v/>
      </c>
      <c r="J15" s="426" t="str">
        <f t="shared" ref="J15:J16" si="52">IF(ISBLANK(B15),"",IF(ISERROR(E15/C15),0,E15/C15))</f>
        <v/>
      </c>
      <c r="K15" s="427" t="str">
        <f t="shared" ref="K15:K16" si="53">IF(ISBLANK(B15),"",IF(ISERROR(E15+D15),0,E15+D15))</f>
        <v/>
      </c>
      <c r="L15" s="426" t="str">
        <f t="shared" ref="L15:L16" si="54">IF(ISBLANK(B15),"",IF(ISERROR(K15/C15),0,K15/C15))</f>
        <v/>
      </c>
      <c r="M15" s="433"/>
    </row>
    <row r="16" spans="1:21" x14ac:dyDescent="0.25">
      <c r="B16" s="436"/>
      <c r="C16" s="428" t="str">
        <f t="shared" si="45"/>
        <v/>
      </c>
      <c r="D16" s="428" t="str">
        <f t="shared" si="46"/>
        <v/>
      </c>
      <c r="E16" s="428" t="str">
        <f t="shared" si="47"/>
        <v/>
      </c>
      <c r="F16" s="429" t="str">
        <f t="shared" si="48"/>
        <v/>
      </c>
      <c r="G16" s="428" t="str">
        <f t="shared" si="49"/>
        <v/>
      </c>
      <c r="H16" s="423" t="str">
        <f t="shared" si="50"/>
        <v/>
      </c>
      <c r="I16" s="430" t="str">
        <f t="shared" si="51"/>
        <v/>
      </c>
      <c r="J16" s="430" t="str">
        <f t="shared" si="52"/>
        <v/>
      </c>
      <c r="K16" s="431" t="str">
        <f t="shared" si="53"/>
        <v/>
      </c>
      <c r="L16" s="430" t="str">
        <f t="shared" si="54"/>
        <v/>
      </c>
      <c r="M16" s="434"/>
    </row>
  </sheetData>
  <dataConsolidate/>
  <conditionalFormatting sqref="I6 L6">
    <cfRule type="cellIs" dxfId="3" priority="704" stopIfTrue="1" operator="lessThan">
      <formula>0</formula>
    </cfRule>
  </conditionalFormatting>
  <conditionalFormatting sqref="I7:I16 L7:L16">
    <cfRule type="cellIs" dxfId="2" priority="1" stopIfTrue="1" operator="lessThan">
      <formula>0</formula>
    </cfRule>
  </conditionalFormatting>
  <dataValidations count="1">
    <dataValidation type="list" allowBlank="1" showInputMessage="1" showErrorMessage="1" sqref="C3:C4">
      <formula1>"Track,Phase,Release"</formula1>
    </dataValidation>
  </dataValidations>
  <pageMargins left="0.39370078740157499" right="0.39370078740157499" top="0.59055118110236204" bottom="0.59055118110236204" header="0.196850393700787" footer="0.196850393700787"/>
  <pageSetup scale="70" orientation="portrait"/>
  <headerFooter>
    <oddFooter>&amp;L&amp;9&amp;D&amp;C&amp;"Calibri,Regular"&amp;9&amp;GSapient Confidential
&amp;6           Estimation Tool V5.0.0&amp;R&amp;"Calibri,Regular"&amp;9Page &amp;P</oddFooter>
  </headerFooter>
  <drawing r:id="rId3"/>
  <legacyDrawing r:id="rId4"/>
  <legacyDrawingHF r:id="rId5"/>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P26"/>
  <sheetViews>
    <sheetView showGridLines="0" topLeftCell="A7" workbookViewId="0"/>
  </sheetViews>
  <sheetFormatPr defaultColWidth="8.875" defaultRowHeight="15.75" x14ac:dyDescent="0.25"/>
  <cols>
    <col min="1" max="1" width="1.875" customWidth="1"/>
    <col min="2" max="2" width="16.125" customWidth="1"/>
    <col min="3" max="3" width="10.375" customWidth="1"/>
    <col min="4" max="4" width="9.5" customWidth="1"/>
    <col min="5" max="5" width="9.375" customWidth="1"/>
    <col min="6" max="7" width="2.625" customWidth="1"/>
    <col min="8" max="8" width="2" customWidth="1"/>
    <col min="9" max="9" width="1.875" customWidth="1"/>
    <col min="10" max="10" width="2.625" customWidth="1"/>
    <col min="11" max="11" width="1.625" customWidth="1"/>
    <col min="12" max="12" width="30.5" customWidth="1"/>
    <col min="13" max="13" width="1.625" customWidth="1"/>
    <col min="14" max="14" width="1.5" customWidth="1"/>
    <col min="15" max="15" width="2.625" customWidth="1"/>
    <col min="16" max="16" width="2" customWidth="1"/>
  </cols>
  <sheetData>
    <row r="1" spans="1:16" ht="49.5" customHeight="1" x14ac:dyDescent="0.25">
      <c r="A1" s="4"/>
      <c r="B1" s="348" t="s">
        <v>533</v>
      </c>
      <c r="C1" s="348"/>
      <c r="D1" s="349" t="str">
        <f>project_headline</f>
        <v>CAI Cycle 7 Stage I QA | Estimation</v>
      </c>
      <c r="E1" s="348"/>
    </row>
    <row r="2" spans="1:16" ht="9" customHeight="1" x14ac:dyDescent="0.25"/>
    <row r="3" spans="1:16" x14ac:dyDescent="0.25">
      <c r="B3" s="269" t="s">
        <v>534</v>
      </c>
      <c r="C3" s="529" t="s">
        <v>535</v>
      </c>
      <c r="D3" s="529"/>
      <c r="E3" s="530"/>
      <c r="H3" s="363"/>
      <c r="I3" s="313"/>
      <c r="J3" s="313"/>
      <c r="K3" s="313"/>
      <c r="L3" s="313"/>
      <c r="M3" s="313"/>
      <c r="N3" s="313"/>
      <c r="O3" s="313"/>
      <c r="P3" s="364"/>
    </row>
    <row r="4" spans="1:16" x14ac:dyDescent="0.25">
      <c r="B4" s="270"/>
      <c r="C4" s="272" t="s">
        <v>21</v>
      </c>
      <c r="D4" s="232" t="s">
        <v>22</v>
      </c>
      <c r="E4" s="273" t="s">
        <v>75</v>
      </c>
      <c r="F4" s="19"/>
      <c r="G4" s="19"/>
      <c r="H4" s="314"/>
      <c r="I4" s="531" t="str">
        <f ca="1">CONCATENATE("Total LOE: ", ROUND(total_loe,0), " days (100%)")</f>
        <v>Total LOE: 71 days (100%)</v>
      </c>
      <c r="J4" s="531"/>
      <c r="K4" s="531"/>
      <c r="L4" s="531"/>
      <c r="M4" s="531"/>
      <c r="N4" s="531"/>
      <c r="O4" s="531"/>
      <c r="P4" s="315"/>
    </row>
    <row r="5" spans="1:16" x14ac:dyDescent="0.25">
      <c r="B5" s="271" t="s">
        <v>78</v>
      </c>
      <c r="C5" s="277">
        <f>stories_total_loe_abp</f>
        <v>58.556999999999995</v>
      </c>
      <c r="D5" s="278">
        <f>stories_total_loe_hp</f>
        <v>82.555000000000007</v>
      </c>
      <c r="E5" s="279">
        <f>stories_total_loe_buffered</f>
        <v>71</v>
      </c>
      <c r="F5" s="19"/>
      <c r="G5" s="19"/>
      <c r="H5" s="314"/>
      <c r="I5" s="316"/>
      <c r="J5" s="316"/>
      <c r="K5" s="316"/>
      <c r="L5" s="316"/>
      <c r="M5" s="316"/>
      <c r="N5" s="316"/>
      <c r="O5" s="316"/>
      <c r="P5" s="315"/>
    </row>
    <row r="6" spans="1:16" ht="15.75" customHeight="1" x14ac:dyDescent="0.25">
      <c r="B6" s="19"/>
      <c r="C6" s="19"/>
      <c r="D6" s="19"/>
      <c r="E6" s="19"/>
      <c r="F6" s="19"/>
      <c r="G6" s="19"/>
      <c r="H6" s="314"/>
      <c r="I6" s="316"/>
      <c r="J6" s="316"/>
      <c r="K6" s="316"/>
      <c r="L6" s="366" t="str">
        <f ca="1">CONCATENATE("Oversight LOE: ", staffing_total_loe_oversight, " days (",  IF(total_loe=0,0,ROUND(100*staffing_total_loe_oversight/total_loe,0)),"%)")</f>
        <v>Oversight LOE: 0 days (0%)</v>
      </c>
      <c r="M6" s="316"/>
      <c r="N6" s="316"/>
      <c r="O6" s="316"/>
      <c r="P6" s="315"/>
    </row>
    <row r="7" spans="1:16" ht="15.75" customHeight="1" x14ac:dyDescent="0.25">
      <c r="B7" s="274" t="s">
        <v>28</v>
      </c>
      <c r="C7" s="295">
        <f>addins_total_loe</f>
        <v>0</v>
      </c>
      <c r="D7" s="294">
        <f>addins_total_loe</f>
        <v>0</v>
      </c>
      <c r="E7" s="280">
        <f>addins_total_loe</f>
        <v>0</v>
      </c>
      <c r="F7" s="19"/>
      <c r="G7" s="19"/>
      <c r="H7" s="314"/>
      <c r="I7" s="316"/>
      <c r="J7" s="316"/>
      <c r="K7" s="316"/>
      <c r="L7" s="362" t="s">
        <v>536</v>
      </c>
      <c r="M7" s="316"/>
      <c r="N7" s="316"/>
      <c r="O7" s="316"/>
      <c r="P7" s="315"/>
    </row>
    <row r="8" spans="1:16" ht="15.75" customHeight="1" x14ac:dyDescent="0.25">
      <c r="B8" s="19"/>
      <c r="C8" s="19"/>
      <c r="D8" s="19"/>
      <c r="E8" s="19"/>
      <c r="F8" s="19"/>
      <c r="G8" s="19"/>
      <c r="H8" s="314"/>
      <c r="I8" s="316"/>
      <c r="J8" s="316"/>
      <c r="K8" s="316"/>
      <c r="L8" s="366" t="str">
        <f ca="1">CONCATENATE("Obj. Risk LOE: ", risks_total_loe, " days (",  IF(total_loe=0,0,ROUND(100*risks_total_loe/total_loe,0)),"%)")</f>
        <v>Obj. Risk LOE: 0 days (0%)</v>
      </c>
      <c r="M8" s="316"/>
      <c r="N8" s="316"/>
      <c r="O8" s="316"/>
      <c r="P8" s="315"/>
    </row>
    <row r="9" spans="1:16" ht="15.75" customHeight="1" x14ac:dyDescent="0.25">
      <c r="B9" s="274" t="s">
        <v>523</v>
      </c>
      <c r="C9" s="291">
        <f>risks_total_loe</f>
        <v>0</v>
      </c>
      <c r="D9" s="292">
        <f>risks_total_loe</f>
        <v>0</v>
      </c>
      <c r="E9" s="281">
        <f>risks_total_loe</f>
        <v>0</v>
      </c>
      <c r="F9" s="19"/>
      <c r="G9" s="19"/>
      <c r="H9" s="314"/>
      <c r="I9" s="316"/>
      <c r="J9" s="316"/>
      <c r="K9" s="316"/>
      <c r="L9" s="362" t="s">
        <v>536</v>
      </c>
      <c r="M9" s="316"/>
      <c r="N9" s="316"/>
      <c r="O9" s="316"/>
      <c r="P9" s="315"/>
    </row>
    <row r="10" spans="1:16" ht="15.75" customHeight="1" x14ac:dyDescent="0.25">
      <c r="B10" s="19"/>
      <c r="C10" s="19"/>
      <c r="D10" s="19"/>
      <c r="E10" s="19"/>
      <c r="F10" s="19"/>
      <c r="G10" s="19"/>
      <c r="H10" s="314"/>
      <c r="I10" s="361"/>
      <c r="J10" s="361"/>
      <c r="K10" s="361"/>
      <c r="L10" s="361"/>
      <c r="M10" s="317"/>
      <c r="N10" s="317"/>
      <c r="O10" s="317"/>
      <c r="P10" s="315"/>
    </row>
    <row r="11" spans="1:16" ht="15.75" customHeight="1" x14ac:dyDescent="0.25">
      <c r="B11" s="257" t="s">
        <v>524</v>
      </c>
      <c r="C11" s="293">
        <f ca="1">staffing_total_loe_oversight</f>
        <v>0</v>
      </c>
      <c r="D11" s="294">
        <f ca="1">staffing_total_loe_oversight</f>
        <v>0</v>
      </c>
      <c r="E11" s="280">
        <f ca="1">staffing_total_loe_oversight</f>
        <v>0</v>
      </c>
      <c r="F11" s="19"/>
      <c r="G11" s="19"/>
      <c r="H11" s="314"/>
      <c r="I11" s="361"/>
      <c r="J11" s="361"/>
      <c r="K11" s="361"/>
      <c r="L11" s="366" t="str">
        <f ca="1">CONCATENATE("Add-ins LOE: ", addins_total_loe, " days (",  IF(total_loe=0,0,ROUND(100*addins_total_loe/total_loe,0)),"%)")</f>
        <v>Add-ins LOE: 0 days (0%)</v>
      </c>
      <c r="M11" s="317"/>
      <c r="N11" s="317"/>
      <c r="O11" s="317"/>
      <c r="P11" s="315"/>
    </row>
    <row r="12" spans="1:16" ht="15.75" customHeight="1" x14ac:dyDescent="0.25">
      <c r="B12" s="19"/>
      <c r="C12" s="19"/>
      <c r="D12" s="19"/>
      <c r="E12" s="19"/>
      <c r="F12" s="19"/>
      <c r="G12" s="19"/>
      <c r="H12" s="314"/>
      <c r="I12" s="361"/>
      <c r="J12" s="361"/>
      <c r="K12" s="361"/>
      <c r="L12" s="361" t="s">
        <v>536</v>
      </c>
      <c r="M12" s="317"/>
      <c r="N12" s="317"/>
      <c r="O12" s="317"/>
      <c r="P12" s="315"/>
    </row>
    <row r="13" spans="1:16" ht="15.75" customHeight="1" x14ac:dyDescent="0.25">
      <c r="B13" s="275" t="s">
        <v>76</v>
      </c>
      <c r="C13" s="282">
        <f ca="1">C5+C7+C9+C11</f>
        <v>58.556999999999995</v>
      </c>
      <c r="D13" s="287">
        <f ca="1">D5+D7+D9+D11</f>
        <v>82.555000000000007</v>
      </c>
      <c r="E13" s="288">
        <f ca="1">E5+E7+E9+E11</f>
        <v>71</v>
      </c>
      <c r="F13" s="19"/>
      <c r="G13" s="19"/>
      <c r="H13" s="314"/>
      <c r="I13" s="361"/>
      <c r="J13" s="361"/>
      <c r="K13" s="361"/>
      <c r="L13" s="366" t="str">
        <f ca="1">CONCATENATE("Story LOE: ", stories_total_loe_buffered, " days (",  IF(total_loe=0,0,ROUND(100*stories_total_loe_buffered/total_loe,0)),"%)")</f>
        <v>Story LOE: 71 days (100%)</v>
      </c>
      <c r="M13" s="317"/>
      <c r="N13" s="317"/>
      <c r="O13" s="317"/>
      <c r="P13" s="315"/>
    </row>
    <row r="14" spans="1:16" ht="15.75" customHeight="1" x14ac:dyDescent="0.25">
      <c r="B14" s="270" t="s">
        <v>525</v>
      </c>
      <c r="C14" s="283">
        <f ca="1">C13/5</f>
        <v>11.711399999999999</v>
      </c>
      <c r="D14" s="286">
        <f ca="1">D13/5</f>
        <v>16.511000000000003</v>
      </c>
      <c r="E14" s="290">
        <f ca="1">E13/5</f>
        <v>14.2</v>
      </c>
      <c r="F14" s="19"/>
      <c r="G14" s="19"/>
      <c r="H14" s="314"/>
      <c r="I14" s="361"/>
      <c r="J14" s="361"/>
      <c r="K14" s="361"/>
      <c r="L14" s="361"/>
      <c r="M14" s="317"/>
      <c r="N14" s="317"/>
      <c r="O14" s="317"/>
      <c r="P14" s="315"/>
    </row>
    <row r="15" spans="1:16" ht="15.75" customHeight="1" x14ac:dyDescent="0.25">
      <c r="B15" s="271" t="s">
        <v>526</v>
      </c>
      <c r="C15" s="284">
        <f ca="1">IF(ISERROR(C13/$E$13),0,C13/$E$13)</f>
        <v>0.82474647887323937</v>
      </c>
      <c r="D15" s="285">
        <f ca="1">IF(ISERROR(D13/$E$13),0,D13/$E$13)</f>
        <v>1.1627464788732396</v>
      </c>
      <c r="E15" s="289">
        <f ca="1">IF(ISERROR(E13/$E$13),0,E13/$E$13)</f>
        <v>1</v>
      </c>
      <c r="F15" s="19"/>
      <c r="G15" s="19"/>
      <c r="H15" s="318"/>
      <c r="I15" s="319"/>
      <c r="J15" s="319"/>
      <c r="K15" s="319"/>
      <c r="L15" s="319"/>
      <c r="M15" s="319"/>
      <c r="N15" s="319"/>
      <c r="O15" s="319"/>
      <c r="P15" s="320"/>
    </row>
    <row r="16" spans="1:16" ht="15.75" customHeight="1" x14ac:dyDescent="0.25">
      <c r="B16" s="19"/>
      <c r="C16" s="19"/>
      <c r="D16" s="19"/>
      <c r="E16" s="19"/>
      <c r="F16" s="19"/>
      <c r="G16" s="19"/>
      <c r="H16" s="365"/>
      <c r="I16" s="365"/>
      <c r="J16" s="365"/>
      <c r="K16" s="365"/>
      <c r="L16" s="365"/>
      <c r="M16" s="365"/>
      <c r="N16" s="365"/>
      <c r="O16" s="365"/>
      <c r="P16" s="365"/>
    </row>
    <row r="17" spans="2:16" ht="15.75" customHeight="1" x14ac:dyDescent="0.25">
      <c r="B17" s="19"/>
      <c r="C17" s="19"/>
      <c r="D17" s="19"/>
      <c r="E17" s="19"/>
      <c r="F17" s="19"/>
      <c r="G17" s="19"/>
      <c r="H17" s="365"/>
      <c r="I17" s="365"/>
      <c r="J17" s="365"/>
      <c r="K17" s="365"/>
      <c r="L17" s="365"/>
      <c r="M17" s="365"/>
      <c r="N17" s="365"/>
      <c r="O17" s="365"/>
      <c r="P17" s="365"/>
    </row>
    <row r="18" spans="2:16" ht="15.75" customHeight="1" x14ac:dyDescent="0.25">
      <c r="B18" s="269" t="s">
        <v>527</v>
      </c>
      <c r="C18" s="276" t="s">
        <v>97</v>
      </c>
      <c r="D18" s="19"/>
      <c r="E18" s="302">
        <v>0.2</v>
      </c>
      <c r="F18" s="311"/>
      <c r="G18" s="20" t="str">
        <f ca="1">IF(E18&lt;=C$24,"&lt;","")</f>
        <v/>
      </c>
      <c r="H18" s="365"/>
      <c r="I18" s="365"/>
      <c r="J18" s="365"/>
      <c r="K18" s="365"/>
      <c r="L18" s="365"/>
      <c r="M18" s="365"/>
      <c r="N18" s="365"/>
      <c r="O18" s="365"/>
      <c r="P18" s="365"/>
    </row>
    <row r="19" spans="2:16" ht="15.75" customHeight="1" x14ac:dyDescent="0.25">
      <c r="B19" s="270" t="s">
        <v>528</v>
      </c>
      <c r="C19" s="296">
        <f ca="1">ROUND(total_loe,0)</f>
        <v>71</v>
      </c>
      <c r="D19" s="19"/>
      <c r="E19" s="303">
        <v>0.1</v>
      </c>
      <c r="F19" s="312"/>
      <c r="G19" s="20" t="str">
        <f ca="1">IF(AND(E19&lt;=C$24,E18&gt;C$24),"&lt;","")</f>
        <v/>
      </c>
      <c r="H19" s="365"/>
      <c r="I19" s="365"/>
      <c r="J19" s="365"/>
      <c r="K19" s="365"/>
      <c r="L19" s="365"/>
      <c r="M19" s="365"/>
      <c r="N19" s="365"/>
      <c r="O19" s="365"/>
      <c r="P19" s="365"/>
    </row>
    <row r="20" spans="2:16" ht="15.75" customHeight="1" x14ac:dyDescent="0.25">
      <c r="B20" s="271" t="s">
        <v>529</v>
      </c>
      <c r="C20" s="297">
        <f ca="1">staffing_total_person_days</f>
        <v>0</v>
      </c>
      <c r="D20" s="19"/>
      <c r="E20" s="304">
        <v>0.05</v>
      </c>
      <c r="F20" s="310"/>
      <c r="G20" s="20" t="str">
        <f ca="1">IF(AND(E20&lt;=C$24,E19&gt;C$24),"&lt;","")</f>
        <v/>
      </c>
      <c r="H20" s="365"/>
      <c r="I20" s="365"/>
      <c r="J20" s="365"/>
      <c r="K20" s="365"/>
      <c r="L20" s="365"/>
      <c r="M20" s="365"/>
      <c r="N20" s="365"/>
      <c r="O20" s="365"/>
      <c r="P20" s="365"/>
    </row>
    <row r="21" spans="2:16" ht="15.75" customHeight="1" x14ac:dyDescent="0.25">
      <c r="B21" s="19"/>
      <c r="C21" s="19"/>
      <c r="D21" s="19"/>
      <c r="E21" s="300">
        <v>0</v>
      </c>
      <c r="F21" s="301"/>
      <c r="G21" s="20" t="str">
        <f ca="1">IF(AND(E22&lt;C$24,E20&gt;C$24),"&lt;","")</f>
        <v/>
      </c>
      <c r="H21" s="365"/>
      <c r="I21" s="365"/>
      <c r="J21" s="365"/>
      <c r="K21" s="365"/>
      <c r="L21" s="365"/>
      <c r="M21" s="365"/>
      <c r="N21" s="365"/>
      <c r="O21" s="365"/>
      <c r="P21" s="365"/>
    </row>
    <row r="22" spans="2:16" ht="15.75" customHeight="1" x14ac:dyDescent="0.25">
      <c r="B22" s="19"/>
      <c r="C22" s="19"/>
      <c r="D22" s="19"/>
      <c r="E22" s="300">
        <v>-0.05</v>
      </c>
      <c r="F22" s="307"/>
      <c r="G22" s="20" t="str">
        <f ca="1">IF(AND(E22&gt;=C$24,E23&lt;C$24),"&lt;","")</f>
        <v/>
      </c>
      <c r="H22" s="365"/>
      <c r="I22" s="365"/>
      <c r="J22" s="365"/>
      <c r="K22" s="365"/>
      <c r="L22" s="365"/>
      <c r="M22" s="365"/>
      <c r="N22" s="365"/>
      <c r="O22" s="365"/>
      <c r="P22" s="365"/>
    </row>
    <row r="23" spans="2:16" x14ac:dyDescent="0.25">
      <c r="B23" s="275" t="s">
        <v>531</v>
      </c>
      <c r="C23" s="299">
        <f ca="1">C20-C19</f>
        <v>-71</v>
      </c>
      <c r="D23" s="19"/>
      <c r="E23" s="305">
        <v>-0.1</v>
      </c>
      <c r="F23" s="308"/>
      <c r="G23" s="20" t="str">
        <f ca="1">IF(AND(E23&gt;=C$24,E24&lt;C$24),"&lt;","")</f>
        <v/>
      </c>
      <c r="H23" s="365"/>
      <c r="I23" s="365"/>
      <c r="J23" s="365"/>
      <c r="K23" s="365"/>
      <c r="L23" s="365"/>
      <c r="M23" s="365"/>
      <c r="N23" s="365"/>
      <c r="O23" s="365"/>
      <c r="P23" s="365"/>
    </row>
    <row r="24" spans="2:16" x14ac:dyDescent="0.25">
      <c r="B24" s="271" t="s">
        <v>532</v>
      </c>
      <c r="C24" s="298">
        <f ca="1">ROUND(IF(C20=0,-10,C23/C19),2)</f>
        <v>-10</v>
      </c>
      <c r="D24" s="19"/>
      <c r="E24" s="306">
        <v>-0.2</v>
      </c>
      <c r="F24" s="309"/>
      <c r="G24" s="20" t="str">
        <f ca="1">IF(E24&gt;=C$24,"&lt;","")</f>
        <v>&lt;</v>
      </c>
      <c r="H24" s="365"/>
      <c r="I24" s="365"/>
      <c r="J24" s="365"/>
      <c r="K24" s="365"/>
      <c r="L24" s="365"/>
      <c r="M24" s="365"/>
      <c r="N24" s="365"/>
      <c r="O24" s="365"/>
      <c r="P24" s="365"/>
    </row>
    <row r="25" spans="2:16" x14ac:dyDescent="0.25">
      <c r="H25" s="365"/>
      <c r="I25" s="365"/>
      <c r="J25" s="365"/>
      <c r="K25" s="365"/>
      <c r="L25" s="365"/>
      <c r="M25" s="365"/>
      <c r="N25" s="365"/>
      <c r="O25" s="365"/>
      <c r="P25" s="365"/>
    </row>
    <row r="26" spans="2:16" x14ac:dyDescent="0.25">
      <c r="H26" s="19"/>
      <c r="I26" s="19"/>
    </row>
  </sheetData>
  <dataConsolidate/>
  <mergeCells count="2">
    <mergeCell ref="C3:E3"/>
    <mergeCell ref="I4:O4"/>
  </mergeCells>
  <conditionalFormatting sqref="G18:G24">
    <cfRule type="cellIs" dxfId="1" priority="1" stopIfTrue="1" operator="notEqual">
      <formula>"&lt;"</formula>
    </cfRule>
    <cfRule type="cellIs" dxfId="0" priority="2" stopIfTrue="1" operator="equal">
      <formula>"&lt;"</formula>
    </cfRule>
  </conditionalFormatting>
  <pageMargins left="0.7" right="0.7" top="0.75" bottom="0.75" header="0.3" footer="0.3"/>
  <pageSetup orientation="portrait"/>
  <headerFooter>
    <oddFooter>&amp;L&amp;"Calibri,Regular"&amp;9&amp;D&amp;C&amp;"Calibri,Regular"&amp;9&amp;GSapient Confidential
&amp;6           Estimation Tool V5.0.0&amp;R&amp;9Page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O16"/>
  <sheetViews>
    <sheetView workbookViewId="0"/>
  </sheetViews>
  <sheetFormatPr defaultColWidth="8.875" defaultRowHeight="15.75" x14ac:dyDescent="0.25"/>
  <cols>
    <col min="1" max="1" width="6.875" bestFit="1" customWidth="1"/>
    <col min="2" max="2" width="2.625" bestFit="1" customWidth="1"/>
    <col min="3" max="3" width="10.5" bestFit="1" customWidth="1"/>
    <col min="4" max="4" width="5.125" bestFit="1" customWidth="1"/>
    <col min="5" max="5" width="10.625" bestFit="1" customWidth="1"/>
    <col min="6" max="6" width="7.375" bestFit="1" customWidth="1"/>
    <col min="7" max="7" width="7.625" bestFit="1" customWidth="1"/>
    <col min="8" max="8" width="4" bestFit="1" customWidth="1"/>
    <col min="9" max="9" width="6" bestFit="1" customWidth="1"/>
    <col min="10" max="10" width="4.125" bestFit="1" customWidth="1"/>
    <col min="11" max="11" width="3.125" bestFit="1" customWidth="1"/>
    <col min="12" max="12" width="9" bestFit="1" customWidth="1"/>
    <col min="13" max="13" width="8.125" bestFit="1" customWidth="1"/>
    <col min="14" max="14" width="5.625" bestFit="1" customWidth="1"/>
    <col min="15" max="15" width="7" bestFit="1" customWidth="1"/>
  </cols>
  <sheetData>
    <row r="1" spans="1:15" x14ac:dyDescent="0.25">
      <c r="A1" t="s">
        <v>1140</v>
      </c>
      <c r="B1" t="s">
        <v>540</v>
      </c>
      <c r="C1" t="s">
        <v>541</v>
      </c>
      <c r="D1" t="s">
        <v>30</v>
      </c>
      <c r="E1" t="s">
        <v>542</v>
      </c>
      <c r="F1" t="s">
        <v>543</v>
      </c>
      <c r="G1" t="s">
        <v>544</v>
      </c>
      <c r="H1" t="s">
        <v>1142</v>
      </c>
      <c r="I1" t="s">
        <v>1143</v>
      </c>
      <c r="J1" t="s">
        <v>21</v>
      </c>
      <c r="K1" t="s">
        <v>22</v>
      </c>
      <c r="L1" t="s">
        <v>1144</v>
      </c>
      <c r="M1" t="s">
        <v>1145</v>
      </c>
      <c r="N1" t="s">
        <v>35</v>
      </c>
      <c r="O1" t="s">
        <v>545</v>
      </c>
    </row>
    <row r="2" spans="1:15" x14ac:dyDescent="0.25">
      <c r="A2" t="s">
        <v>1139</v>
      </c>
      <c r="C2" t="s">
        <v>1280</v>
      </c>
      <c r="D2" t="s">
        <v>17</v>
      </c>
      <c r="J2">
        <v>2</v>
      </c>
      <c r="K2">
        <v>3</v>
      </c>
    </row>
    <row r="16" spans="1:15" x14ac:dyDescent="0.25">
      <c r="D16" s="11"/>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defaultColWidth="8.875" defaultRowHeight="15.75" x14ac:dyDescent="0.25"/>
  <cols>
    <col min="1" max="1" width="5.125" bestFit="1" customWidth="1"/>
    <col min="2" max="2" width="10.125" bestFit="1" customWidth="1"/>
    <col min="3" max="5" width="15.625" bestFit="1" customWidth="1"/>
    <col min="6" max="7" width="10.375" bestFit="1" customWidth="1"/>
    <col min="8" max="8" width="5.125" bestFit="1" customWidth="1"/>
  </cols>
  <sheetData/>
  <dataConsolidate/>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1401"/>
  <sheetViews>
    <sheetView workbookViewId="0">
      <selection activeCell="H7" sqref="H7"/>
    </sheetView>
  </sheetViews>
  <sheetFormatPr defaultColWidth="8.875" defaultRowHeight="15.75" x14ac:dyDescent="0.25"/>
  <cols>
    <col min="1" max="1" width="30" bestFit="1" customWidth="1"/>
    <col min="2" max="2" width="10.375" style="15" bestFit="1" customWidth="1"/>
    <col min="3" max="3" width="0.625" style="13" customWidth="1"/>
    <col min="4" max="4" width="17.125" customWidth="1"/>
    <col min="5" max="5" width="27.625" bestFit="1" customWidth="1"/>
    <col min="6" max="6" width="15.875" customWidth="1"/>
    <col min="7" max="7" width="14.125" customWidth="1"/>
    <col min="8" max="8" width="23" customWidth="1"/>
    <col min="9" max="9" width="14.875" bestFit="1" customWidth="1"/>
    <col min="10" max="10" width="20.5" bestFit="1" customWidth="1"/>
    <col min="11" max="11" width="15.375" bestFit="1" customWidth="1"/>
    <col min="12" max="12" width="21.625" bestFit="1" customWidth="1"/>
    <col min="13" max="13" width="16.625" bestFit="1" customWidth="1"/>
    <col min="14" max="14" width="40.625" hidden="1" customWidth="1"/>
    <col min="15" max="15" width="44.125" bestFit="1" customWidth="1"/>
    <col min="16" max="16" width="34.375" customWidth="1"/>
    <col min="17" max="17" width="31.625" customWidth="1"/>
  </cols>
  <sheetData>
    <row r="1" spans="1:17" x14ac:dyDescent="0.25">
      <c r="A1" s="2" t="s">
        <v>15</v>
      </c>
      <c r="B1" s="14" t="s">
        <v>1287</v>
      </c>
      <c r="D1" s="2" t="s">
        <v>14</v>
      </c>
      <c r="E1" s="2" t="s">
        <v>16</v>
      </c>
      <c r="F1" s="2" t="s">
        <v>138</v>
      </c>
      <c r="G1" s="2" t="s">
        <v>1192</v>
      </c>
      <c r="H1" s="2" t="s">
        <v>1191</v>
      </c>
      <c r="I1" s="2" t="s">
        <v>25</v>
      </c>
      <c r="J1" s="2" t="s">
        <v>65</v>
      </c>
      <c r="K1" s="2" t="s">
        <v>558</v>
      </c>
      <c r="L1" s="2" t="s">
        <v>94</v>
      </c>
      <c r="M1" s="2" t="s">
        <v>139</v>
      </c>
      <c r="N1" s="2" t="s">
        <v>142</v>
      </c>
      <c r="O1" s="2" t="s">
        <v>201</v>
      </c>
      <c r="P1" s="2" t="s">
        <v>834</v>
      </c>
      <c r="Q1" s="2" t="s">
        <v>835</v>
      </c>
    </row>
    <row r="2" spans="1:17" x14ac:dyDescent="0.25">
      <c r="A2" s="2" t="s">
        <v>530</v>
      </c>
      <c r="B2" s="44">
        <f ca="1">stories_total_loe_buffered+addins_total_loe+risks_total_loe+staffing_total_loe_oversight</f>
        <v>71</v>
      </c>
      <c r="D2" t="s">
        <v>12</v>
      </c>
      <c r="E2" t="s">
        <v>103</v>
      </c>
      <c r="F2" t="s">
        <v>17</v>
      </c>
      <c r="G2" t="s">
        <v>17</v>
      </c>
      <c r="H2" t="s">
        <v>17</v>
      </c>
      <c r="I2" t="s">
        <v>17</v>
      </c>
      <c r="J2" s="11" t="s">
        <v>58</v>
      </c>
      <c r="K2" t="s">
        <v>70</v>
      </c>
      <c r="L2" t="s">
        <v>95</v>
      </c>
      <c r="M2" t="s">
        <v>141</v>
      </c>
      <c r="N2" t="s">
        <v>575</v>
      </c>
      <c r="O2" t="s">
        <v>522</v>
      </c>
      <c r="P2" s="358" t="s">
        <v>332</v>
      </c>
      <c r="Q2" s="358" t="s">
        <v>576</v>
      </c>
    </row>
    <row r="3" spans="1:17" x14ac:dyDescent="0.25">
      <c r="A3" s="2" t="s">
        <v>559</v>
      </c>
      <c r="B3" s="42" t="str">
        <f>TEXT("01/12/2014","DD/MM/YYYY")</f>
        <v>12/01/2014</v>
      </c>
      <c r="D3" t="s">
        <v>13</v>
      </c>
      <c r="E3" t="s">
        <v>104</v>
      </c>
      <c r="F3" t="s">
        <v>1323</v>
      </c>
      <c r="I3" t="s">
        <v>1302</v>
      </c>
      <c r="J3" t="s">
        <v>59</v>
      </c>
      <c r="K3" t="s">
        <v>71</v>
      </c>
      <c r="L3" t="s">
        <v>88</v>
      </c>
      <c r="M3" t="s">
        <v>136</v>
      </c>
      <c r="N3" t="s">
        <v>143</v>
      </c>
      <c r="O3" t="s">
        <v>332</v>
      </c>
      <c r="P3" s="358" t="e">
        <v>#N/A</v>
      </c>
      <c r="Q3" s="359" t="s">
        <v>143</v>
      </c>
    </row>
    <row r="4" spans="1:17" x14ac:dyDescent="0.25">
      <c r="A4" s="2" t="s">
        <v>560</v>
      </c>
      <c r="B4" s="15" t="s">
        <v>562</v>
      </c>
      <c r="E4" t="s">
        <v>105</v>
      </c>
      <c r="F4" t="s">
        <v>1314</v>
      </c>
      <c r="I4" t="s">
        <v>1303</v>
      </c>
      <c r="J4" t="s">
        <v>60</v>
      </c>
      <c r="L4" t="s">
        <v>96</v>
      </c>
      <c r="M4" t="s">
        <v>134</v>
      </c>
      <c r="N4" t="s">
        <v>144</v>
      </c>
      <c r="O4" t="s">
        <v>144</v>
      </c>
      <c r="P4" s="358" t="s">
        <v>144</v>
      </c>
      <c r="Q4" s="358" t="s">
        <v>144</v>
      </c>
    </row>
    <row r="5" spans="1:17" x14ac:dyDescent="0.25">
      <c r="A5" s="2" t="s">
        <v>561</v>
      </c>
      <c r="F5" t="s">
        <v>1324</v>
      </c>
      <c r="I5" t="s">
        <v>1304</v>
      </c>
      <c r="J5" t="s">
        <v>61</v>
      </c>
      <c r="M5" t="s">
        <v>135</v>
      </c>
      <c r="N5" t="s">
        <v>145</v>
      </c>
      <c r="O5" t="s">
        <v>145</v>
      </c>
      <c r="P5" s="358" t="s">
        <v>145</v>
      </c>
      <c r="Q5" s="358" t="s">
        <v>144</v>
      </c>
    </row>
    <row r="6" spans="1:17" x14ac:dyDescent="0.25">
      <c r="A6" s="2" t="s">
        <v>1058</v>
      </c>
      <c r="F6" t="s">
        <v>157</v>
      </c>
      <c r="I6" t="s">
        <v>1305</v>
      </c>
      <c r="J6" t="s">
        <v>62</v>
      </c>
      <c r="M6" t="s">
        <v>137</v>
      </c>
      <c r="N6" t="s">
        <v>576</v>
      </c>
      <c r="O6" t="s">
        <v>333</v>
      </c>
      <c r="P6" s="358" t="s">
        <v>145</v>
      </c>
      <c r="Q6" s="358" t="s">
        <v>145</v>
      </c>
    </row>
    <row r="7" spans="1:17" x14ac:dyDescent="0.25">
      <c r="A7" s="2" t="s">
        <v>1060</v>
      </c>
      <c r="B7" s="15" t="s">
        <v>1059</v>
      </c>
      <c r="F7" t="s">
        <v>1322</v>
      </c>
      <c r="I7" t="s">
        <v>1299</v>
      </c>
      <c r="J7" t="s">
        <v>63</v>
      </c>
      <c r="M7" t="s">
        <v>140</v>
      </c>
      <c r="N7" t="s">
        <v>577</v>
      </c>
      <c r="O7" t="s">
        <v>1147</v>
      </c>
      <c r="P7" s="358" t="s">
        <v>333</v>
      </c>
      <c r="Q7" s="358" t="s">
        <v>333</v>
      </c>
    </row>
    <row r="8" spans="1:17" x14ac:dyDescent="0.25">
      <c r="I8" t="s">
        <v>1300</v>
      </c>
      <c r="J8" t="s">
        <v>64</v>
      </c>
      <c r="M8" t="s">
        <v>106</v>
      </c>
      <c r="N8" t="s">
        <v>578</v>
      </c>
      <c r="O8" t="s">
        <v>202</v>
      </c>
      <c r="P8" s="358" t="s">
        <v>1147</v>
      </c>
      <c r="Q8" s="358" t="s">
        <v>145</v>
      </c>
    </row>
    <row r="9" spans="1:17" x14ac:dyDescent="0.25">
      <c r="F9" s="321"/>
      <c r="G9" s="321"/>
      <c r="H9" s="321"/>
      <c r="I9" t="s">
        <v>1306</v>
      </c>
      <c r="M9" t="s">
        <v>107</v>
      </c>
      <c r="N9" t="s">
        <v>579</v>
      </c>
      <c r="O9" t="s">
        <v>334</v>
      </c>
      <c r="P9" s="358" t="s">
        <v>334</v>
      </c>
      <c r="Q9" s="358" t="s">
        <v>146</v>
      </c>
    </row>
    <row r="10" spans="1:17" x14ac:dyDescent="0.25">
      <c r="F10" s="321"/>
      <c r="G10" s="321"/>
      <c r="H10" s="321"/>
      <c r="I10" t="s">
        <v>1307</v>
      </c>
      <c r="M10" t="s">
        <v>108</v>
      </c>
      <c r="N10" t="s">
        <v>580</v>
      </c>
      <c r="O10" t="s">
        <v>335</v>
      </c>
      <c r="P10" s="358" t="s">
        <v>334</v>
      </c>
      <c r="Q10" s="358" t="s">
        <v>836</v>
      </c>
    </row>
    <row r="11" spans="1:17" x14ac:dyDescent="0.25">
      <c r="F11" s="321"/>
      <c r="G11" s="321"/>
      <c r="H11" s="321"/>
      <c r="I11" t="s">
        <v>1301</v>
      </c>
      <c r="M11" t="s">
        <v>109</v>
      </c>
      <c r="N11" t="s">
        <v>581</v>
      </c>
      <c r="O11" t="s">
        <v>338</v>
      </c>
      <c r="P11" s="358" t="s">
        <v>334</v>
      </c>
      <c r="Q11" s="358" t="s">
        <v>837</v>
      </c>
    </row>
    <row r="12" spans="1:17" x14ac:dyDescent="0.25">
      <c r="F12" s="321"/>
      <c r="G12" s="321"/>
      <c r="I12" t="s">
        <v>1308</v>
      </c>
      <c r="M12" t="s">
        <v>110</v>
      </c>
      <c r="N12" t="s">
        <v>582</v>
      </c>
      <c r="O12" t="s">
        <v>402</v>
      </c>
      <c r="P12" s="358" t="s">
        <v>335</v>
      </c>
      <c r="Q12" s="358" t="s">
        <v>836</v>
      </c>
    </row>
    <row r="13" spans="1:17" x14ac:dyDescent="0.25">
      <c r="G13" s="321"/>
      <c r="H13" s="321"/>
      <c r="I13" t="s">
        <v>1295</v>
      </c>
      <c r="M13" t="s">
        <v>111</v>
      </c>
      <c r="N13" t="s">
        <v>583</v>
      </c>
      <c r="O13" t="s">
        <v>336</v>
      </c>
      <c r="P13" s="358" t="s">
        <v>335</v>
      </c>
      <c r="Q13" s="358" t="s">
        <v>837</v>
      </c>
    </row>
    <row r="14" spans="1:17" x14ac:dyDescent="0.25">
      <c r="G14" s="321"/>
      <c r="I14" t="s">
        <v>1297</v>
      </c>
      <c r="M14" t="s">
        <v>574</v>
      </c>
      <c r="N14" t="s">
        <v>584</v>
      </c>
      <c r="O14" t="s">
        <v>337</v>
      </c>
      <c r="P14" s="358" t="s">
        <v>822</v>
      </c>
      <c r="Q14" s="358" t="s">
        <v>1061</v>
      </c>
    </row>
    <row r="15" spans="1:17" x14ac:dyDescent="0.25">
      <c r="G15" s="321"/>
      <c r="I15" t="s">
        <v>1309</v>
      </c>
      <c r="M15" t="s">
        <v>112</v>
      </c>
      <c r="N15" t="s">
        <v>585</v>
      </c>
      <c r="O15" t="s">
        <v>203</v>
      </c>
      <c r="P15" s="358" t="s">
        <v>1148</v>
      </c>
      <c r="Q15" s="358" t="s">
        <v>143</v>
      </c>
    </row>
    <row r="16" spans="1:17" x14ac:dyDescent="0.25">
      <c r="G16" s="321"/>
      <c r="I16" t="s">
        <v>1310</v>
      </c>
      <c r="M16" t="s">
        <v>113</v>
      </c>
      <c r="N16" t="s">
        <v>146</v>
      </c>
      <c r="O16" t="s">
        <v>204</v>
      </c>
      <c r="P16" s="358" t="s">
        <v>1148</v>
      </c>
      <c r="Q16" s="358" t="s">
        <v>169</v>
      </c>
    </row>
    <row r="17" spans="6:17" x14ac:dyDescent="0.25">
      <c r="G17" s="321"/>
      <c r="I17" t="s">
        <v>1311</v>
      </c>
      <c r="M17" t="s">
        <v>114</v>
      </c>
      <c r="N17" t="s">
        <v>586</v>
      </c>
      <c r="O17" t="s">
        <v>403</v>
      </c>
      <c r="P17" s="358" t="s">
        <v>151</v>
      </c>
      <c r="Q17" s="358" t="s">
        <v>838</v>
      </c>
    </row>
    <row r="18" spans="6:17" x14ac:dyDescent="0.25">
      <c r="F18" s="321"/>
      <c r="I18" t="s">
        <v>1312</v>
      </c>
      <c r="M18" t="s">
        <v>115</v>
      </c>
      <c r="N18" t="s">
        <v>147</v>
      </c>
      <c r="O18" t="s">
        <v>339</v>
      </c>
      <c r="P18" s="358" t="s">
        <v>151</v>
      </c>
      <c r="Q18" s="358" t="s">
        <v>151</v>
      </c>
    </row>
    <row r="19" spans="6:17" x14ac:dyDescent="0.25">
      <c r="F19" s="321"/>
      <c r="I19" t="s">
        <v>1313</v>
      </c>
      <c r="M19" t="s">
        <v>116</v>
      </c>
      <c r="N19" t="s">
        <v>148</v>
      </c>
      <c r="O19" t="s">
        <v>340</v>
      </c>
      <c r="P19" s="358" t="s">
        <v>349</v>
      </c>
      <c r="Q19" s="358" t="s">
        <v>839</v>
      </c>
    </row>
    <row r="20" spans="6:17" x14ac:dyDescent="0.25">
      <c r="F20" s="321"/>
      <c r="I20" t="s">
        <v>1314</v>
      </c>
      <c r="M20" t="s">
        <v>117</v>
      </c>
      <c r="N20" t="s">
        <v>149</v>
      </c>
      <c r="O20" t="s">
        <v>205</v>
      </c>
      <c r="P20" s="358" t="s">
        <v>349</v>
      </c>
      <c r="Q20" s="358" t="s">
        <v>840</v>
      </c>
    </row>
    <row r="21" spans="6:17" x14ac:dyDescent="0.25">
      <c r="F21" s="321"/>
      <c r="I21" t="s">
        <v>1317</v>
      </c>
      <c r="M21" t="s">
        <v>118</v>
      </c>
      <c r="N21" t="s">
        <v>587</v>
      </c>
      <c r="O21" t="s">
        <v>341</v>
      </c>
      <c r="P21" s="358" t="s">
        <v>349</v>
      </c>
      <c r="Q21" s="358" t="s">
        <v>841</v>
      </c>
    </row>
    <row r="22" spans="6:17" x14ac:dyDescent="0.25">
      <c r="F22" s="321"/>
      <c r="I22" t="s">
        <v>1320</v>
      </c>
      <c r="M22" t="s">
        <v>119</v>
      </c>
      <c r="N22" t="s">
        <v>588</v>
      </c>
      <c r="O22" t="s">
        <v>206</v>
      </c>
      <c r="P22" s="358" t="s">
        <v>350</v>
      </c>
      <c r="Q22" s="358" t="s">
        <v>590</v>
      </c>
    </row>
    <row r="23" spans="6:17" x14ac:dyDescent="0.25">
      <c r="F23" s="321"/>
      <c r="I23" t="s">
        <v>1322</v>
      </c>
      <c r="M23" t="s">
        <v>120</v>
      </c>
      <c r="N23" t="s">
        <v>150</v>
      </c>
      <c r="O23" t="s">
        <v>207</v>
      </c>
      <c r="P23" s="358" t="s">
        <v>350</v>
      </c>
      <c r="Q23" s="358" t="s">
        <v>591</v>
      </c>
    </row>
    <row r="24" spans="6:17" x14ac:dyDescent="0.25">
      <c r="F24" s="321"/>
      <c r="M24" t="s">
        <v>121</v>
      </c>
      <c r="N24" t="s">
        <v>151</v>
      </c>
      <c r="O24" t="s">
        <v>404</v>
      </c>
      <c r="P24" s="358" t="s">
        <v>350</v>
      </c>
      <c r="Q24" s="358" t="s">
        <v>592</v>
      </c>
    </row>
    <row r="25" spans="6:17" x14ac:dyDescent="0.25">
      <c r="F25" s="321"/>
      <c r="M25" t="s">
        <v>122</v>
      </c>
      <c r="N25" t="s">
        <v>152</v>
      </c>
      <c r="O25" t="s">
        <v>405</v>
      </c>
      <c r="P25" s="358" t="s">
        <v>351</v>
      </c>
      <c r="Q25" s="358" t="s">
        <v>157</v>
      </c>
    </row>
    <row r="26" spans="6:17" x14ac:dyDescent="0.25">
      <c r="F26" s="321"/>
      <c r="M26" t="s">
        <v>123</v>
      </c>
      <c r="N26" t="s">
        <v>589</v>
      </c>
      <c r="O26" t="s">
        <v>208</v>
      </c>
      <c r="P26" s="358" t="s">
        <v>351</v>
      </c>
      <c r="Q26" s="358" t="s">
        <v>842</v>
      </c>
    </row>
    <row r="27" spans="6:17" x14ac:dyDescent="0.25">
      <c r="F27" s="321"/>
      <c r="M27" t="s">
        <v>124</v>
      </c>
      <c r="N27" t="s">
        <v>590</v>
      </c>
      <c r="O27" t="s">
        <v>209</v>
      </c>
      <c r="P27" s="358" t="s">
        <v>352</v>
      </c>
      <c r="Q27" s="358" t="s">
        <v>157</v>
      </c>
    </row>
    <row r="28" spans="6:17" x14ac:dyDescent="0.25">
      <c r="F28" s="321"/>
      <c r="M28" t="s">
        <v>125</v>
      </c>
      <c r="N28" t="s">
        <v>591</v>
      </c>
      <c r="O28" t="s">
        <v>342</v>
      </c>
      <c r="P28" s="358" t="s">
        <v>352</v>
      </c>
      <c r="Q28" s="358" t="s">
        <v>842</v>
      </c>
    </row>
    <row r="29" spans="6:17" x14ac:dyDescent="0.25">
      <c r="F29" s="321"/>
      <c r="M29" t="s">
        <v>126</v>
      </c>
      <c r="N29" t="s">
        <v>592</v>
      </c>
      <c r="O29" t="s">
        <v>343</v>
      </c>
      <c r="P29" s="358" t="s">
        <v>1149</v>
      </c>
      <c r="Q29" s="358" t="s">
        <v>171</v>
      </c>
    </row>
    <row r="30" spans="6:17" x14ac:dyDescent="0.25">
      <c r="F30" s="321"/>
      <c r="M30" t="s">
        <v>127</v>
      </c>
      <c r="N30" t="s">
        <v>593</v>
      </c>
      <c r="O30" t="s">
        <v>344</v>
      </c>
      <c r="P30" s="358" t="s">
        <v>1150</v>
      </c>
      <c r="Q30" s="358" t="s">
        <v>171</v>
      </c>
    </row>
    <row r="31" spans="6:17" x14ac:dyDescent="0.25">
      <c r="M31" t="s">
        <v>128</v>
      </c>
      <c r="N31" t="s">
        <v>153</v>
      </c>
      <c r="O31" t="s">
        <v>147</v>
      </c>
      <c r="P31" s="358" t="s">
        <v>356</v>
      </c>
      <c r="Q31" s="358" t="s">
        <v>171</v>
      </c>
    </row>
    <row r="32" spans="6:17" x14ac:dyDescent="0.25">
      <c r="M32" t="s">
        <v>129</v>
      </c>
      <c r="N32" t="s">
        <v>154</v>
      </c>
      <c r="O32" t="s">
        <v>210</v>
      </c>
      <c r="P32" s="358" t="s">
        <v>356</v>
      </c>
      <c r="Q32" s="358" t="s">
        <v>843</v>
      </c>
    </row>
    <row r="33" spans="13:17" x14ac:dyDescent="0.25">
      <c r="M33" t="s">
        <v>130</v>
      </c>
      <c r="N33" t="s">
        <v>155</v>
      </c>
      <c r="O33" t="s">
        <v>211</v>
      </c>
      <c r="P33" s="358" t="s">
        <v>357</v>
      </c>
      <c r="Q33" s="358" t="s">
        <v>171</v>
      </c>
    </row>
    <row r="34" spans="13:17" x14ac:dyDescent="0.25">
      <c r="M34" t="s">
        <v>131</v>
      </c>
      <c r="N34" t="s">
        <v>594</v>
      </c>
      <c r="O34" t="s">
        <v>345</v>
      </c>
      <c r="P34" s="358" t="s">
        <v>357</v>
      </c>
      <c r="Q34" s="358" t="s">
        <v>843</v>
      </c>
    </row>
    <row r="35" spans="13:17" x14ac:dyDescent="0.25">
      <c r="M35" t="s">
        <v>132</v>
      </c>
      <c r="N35" t="s">
        <v>156</v>
      </c>
      <c r="O35" t="s">
        <v>346</v>
      </c>
      <c r="P35" s="358" t="s">
        <v>844</v>
      </c>
      <c r="Q35" s="358" t="s">
        <v>157</v>
      </c>
    </row>
    <row r="36" spans="13:17" x14ac:dyDescent="0.25">
      <c r="M36" t="s">
        <v>133</v>
      </c>
      <c r="N36" t="s">
        <v>157</v>
      </c>
      <c r="O36" t="s">
        <v>347</v>
      </c>
      <c r="P36" s="358" t="s">
        <v>844</v>
      </c>
      <c r="Q36" s="358" t="s">
        <v>842</v>
      </c>
    </row>
    <row r="37" spans="13:17" x14ac:dyDescent="0.25">
      <c r="N37" t="s">
        <v>595</v>
      </c>
      <c r="O37" t="s">
        <v>212</v>
      </c>
      <c r="P37" s="358" t="s">
        <v>845</v>
      </c>
      <c r="Q37" s="358" t="s">
        <v>157</v>
      </c>
    </row>
    <row r="38" spans="13:17" x14ac:dyDescent="0.25">
      <c r="N38" t="s">
        <v>158</v>
      </c>
      <c r="O38" t="s">
        <v>213</v>
      </c>
      <c r="P38" s="358" t="s">
        <v>845</v>
      </c>
      <c r="Q38" s="358" t="s">
        <v>842</v>
      </c>
    </row>
    <row r="39" spans="13:17" x14ac:dyDescent="0.25">
      <c r="N39" t="s">
        <v>596</v>
      </c>
      <c r="O39" t="s">
        <v>214</v>
      </c>
      <c r="P39" s="358" t="s">
        <v>358</v>
      </c>
      <c r="Q39" s="358" t="s">
        <v>846</v>
      </c>
    </row>
    <row r="40" spans="13:17" x14ac:dyDescent="0.25">
      <c r="N40" t="s">
        <v>159</v>
      </c>
      <c r="O40" t="s">
        <v>348</v>
      </c>
      <c r="P40" s="358" t="s">
        <v>358</v>
      </c>
      <c r="Q40" s="358" t="s">
        <v>847</v>
      </c>
    </row>
    <row r="41" spans="13:17" x14ac:dyDescent="0.25">
      <c r="N41" t="s">
        <v>160</v>
      </c>
      <c r="O41" t="s">
        <v>215</v>
      </c>
      <c r="P41" s="358" t="s">
        <v>358</v>
      </c>
      <c r="Q41" s="358" t="s">
        <v>848</v>
      </c>
    </row>
    <row r="42" spans="13:17" x14ac:dyDescent="0.25">
      <c r="N42" t="s">
        <v>597</v>
      </c>
      <c r="O42" t="s">
        <v>216</v>
      </c>
      <c r="P42" s="358" t="s">
        <v>358</v>
      </c>
      <c r="Q42" s="358" t="s">
        <v>849</v>
      </c>
    </row>
    <row r="43" spans="13:17" x14ac:dyDescent="0.25">
      <c r="N43" t="s">
        <v>598</v>
      </c>
      <c r="O43" t="s">
        <v>217</v>
      </c>
      <c r="P43" s="358" t="s">
        <v>358</v>
      </c>
      <c r="Q43" s="358" t="s">
        <v>850</v>
      </c>
    </row>
    <row r="44" spans="13:17" x14ac:dyDescent="0.25">
      <c r="N44" t="s">
        <v>161</v>
      </c>
      <c r="O44" t="s">
        <v>218</v>
      </c>
      <c r="P44" s="358" t="s">
        <v>358</v>
      </c>
      <c r="Q44" s="358" t="s">
        <v>851</v>
      </c>
    </row>
    <row r="45" spans="13:17" x14ac:dyDescent="0.25">
      <c r="N45" t="s">
        <v>599</v>
      </c>
      <c r="O45" t="s">
        <v>219</v>
      </c>
      <c r="P45" s="358" t="s">
        <v>358</v>
      </c>
      <c r="Q45" s="358" t="s">
        <v>852</v>
      </c>
    </row>
    <row r="46" spans="13:17" x14ac:dyDescent="0.25">
      <c r="N46" t="s">
        <v>162</v>
      </c>
      <c r="O46" t="s">
        <v>220</v>
      </c>
      <c r="P46" s="358" t="s">
        <v>359</v>
      </c>
      <c r="Q46" s="358" t="s">
        <v>846</v>
      </c>
    </row>
    <row r="47" spans="13:17" x14ac:dyDescent="0.25">
      <c r="N47" t="s">
        <v>600</v>
      </c>
      <c r="O47" t="s">
        <v>221</v>
      </c>
      <c r="P47" s="358" t="s">
        <v>359</v>
      </c>
      <c r="Q47" s="358" t="s">
        <v>847</v>
      </c>
    </row>
    <row r="48" spans="13:17" x14ac:dyDescent="0.25">
      <c r="N48" t="s">
        <v>601</v>
      </c>
      <c r="O48" t="s">
        <v>222</v>
      </c>
      <c r="P48" s="358" t="s">
        <v>359</v>
      </c>
      <c r="Q48" s="358" t="s">
        <v>848</v>
      </c>
    </row>
    <row r="49" spans="14:17" x14ac:dyDescent="0.25">
      <c r="N49" t="s">
        <v>163</v>
      </c>
      <c r="O49" t="s">
        <v>1148</v>
      </c>
      <c r="P49" s="358" t="s">
        <v>359</v>
      </c>
      <c r="Q49" s="358" t="s">
        <v>849</v>
      </c>
    </row>
    <row r="50" spans="14:17" x14ac:dyDescent="0.25">
      <c r="N50" t="s">
        <v>164</v>
      </c>
      <c r="O50" t="s">
        <v>428</v>
      </c>
      <c r="P50" s="358" t="s">
        <v>359</v>
      </c>
      <c r="Q50" s="358" t="s">
        <v>850</v>
      </c>
    </row>
    <row r="51" spans="14:17" x14ac:dyDescent="0.25">
      <c r="N51" t="s">
        <v>602</v>
      </c>
      <c r="O51" t="s">
        <v>223</v>
      </c>
      <c r="P51" s="358" t="s">
        <v>359</v>
      </c>
      <c r="Q51" s="358" t="s">
        <v>851</v>
      </c>
    </row>
    <row r="52" spans="14:17" x14ac:dyDescent="0.25">
      <c r="N52" t="s">
        <v>165</v>
      </c>
      <c r="O52" t="s">
        <v>429</v>
      </c>
      <c r="P52" s="358" t="s">
        <v>359</v>
      </c>
      <c r="Q52" s="358" t="s">
        <v>852</v>
      </c>
    </row>
    <row r="53" spans="14:17" x14ac:dyDescent="0.25">
      <c r="N53" t="s">
        <v>603</v>
      </c>
      <c r="O53" t="s">
        <v>430</v>
      </c>
      <c r="P53" s="358" t="s">
        <v>175</v>
      </c>
      <c r="Q53" s="358" t="s">
        <v>175</v>
      </c>
    </row>
    <row r="54" spans="14:17" x14ac:dyDescent="0.25">
      <c r="N54" t="s">
        <v>166</v>
      </c>
      <c r="O54" t="s">
        <v>224</v>
      </c>
      <c r="P54" s="358" t="s">
        <v>176</v>
      </c>
      <c r="Q54" s="358" t="s">
        <v>176</v>
      </c>
    </row>
    <row r="55" spans="14:17" x14ac:dyDescent="0.25">
      <c r="N55" t="s">
        <v>604</v>
      </c>
      <c r="O55" t="s">
        <v>225</v>
      </c>
      <c r="P55" s="358" t="s">
        <v>378</v>
      </c>
      <c r="Q55" s="358" t="s">
        <v>621</v>
      </c>
    </row>
    <row r="56" spans="14:17" x14ac:dyDescent="0.25">
      <c r="N56" t="s">
        <v>605</v>
      </c>
      <c r="O56" t="s">
        <v>151</v>
      </c>
      <c r="P56" s="358" t="s">
        <v>378</v>
      </c>
      <c r="Q56" s="358" t="s">
        <v>622</v>
      </c>
    </row>
    <row r="57" spans="14:17" x14ac:dyDescent="0.25">
      <c r="N57" t="s">
        <v>606</v>
      </c>
      <c r="O57" t="s">
        <v>226</v>
      </c>
      <c r="P57" s="358" t="s">
        <v>1052</v>
      </c>
      <c r="Q57" s="358" t="s">
        <v>1062</v>
      </c>
    </row>
    <row r="58" spans="14:17" x14ac:dyDescent="0.25">
      <c r="N58" t="s">
        <v>607</v>
      </c>
      <c r="O58" t="s">
        <v>349</v>
      </c>
      <c r="P58" s="358" t="s">
        <v>1053</v>
      </c>
      <c r="Q58" s="358" t="s">
        <v>1062</v>
      </c>
    </row>
    <row r="59" spans="14:17" x14ac:dyDescent="0.25">
      <c r="N59" t="s">
        <v>608</v>
      </c>
      <c r="O59" t="s">
        <v>350</v>
      </c>
      <c r="P59" s="358" t="s">
        <v>1054</v>
      </c>
      <c r="Q59" s="358" t="s">
        <v>1062</v>
      </c>
    </row>
    <row r="60" spans="14:17" x14ac:dyDescent="0.25">
      <c r="N60" t="s">
        <v>609</v>
      </c>
      <c r="O60" t="s">
        <v>227</v>
      </c>
      <c r="P60" s="358" t="s">
        <v>1055</v>
      </c>
      <c r="Q60" s="358" t="s">
        <v>1062</v>
      </c>
    </row>
    <row r="61" spans="14:17" x14ac:dyDescent="0.25">
      <c r="N61" t="s">
        <v>167</v>
      </c>
      <c r="O61" t="s">
        <v>351</v>
      </c>
      <c r="P61" s="358" t="s">
        <v>1056</v>
      </c>
      <c r="Q61" s="358" t="s">
        <v>1062</v>
      </c>
    </row>
    <row r="62" spans="14:17" x14ac:dyDescent="0.25">
      <c r="N62" t="s">
        <v>168</v>
      </c>
      <c r="O62" t="s">
        <v>352</v>
      </c>
      <c r="P62" s="358" t="s">
        <v>1057</v>
      </c>
      <c r="Q62" s="358" t="s">
        <v>1062</v>
      </c>
    </row>
    <row r="63" spans="14:17" x14ac:dyDescent="0.25">
      <c r="N63" t="s">
        <v>169</v>
      </c>
      <c r="O63" t="s">
        <v>564</v>
      </c>
      <c r="P63" s="358" t="s">
        <v>182</v>
      </c>
      <c r="Q63" s="358" t="s">
        <v>182</v>
      </c>
    </row>
    <row r="64" spans="14:17" x14ac:dyDescent="0.25">
      <c r="N64" t="s">
        <v>170</v>
      </c>
      <c r="O64" t="s">
        <v>565</v>
      </c>
      <c r="P64" s="358" t="s">
        <v>182</v>
      </c>
      <c r="Q64" s="358" t="s">
        <v>853</v>
      </c>
    </row>
    <row r="65" spans="14:17" x14ac:dyDescent="0.25">
      <c r="N65" t="s">
        <v>171</v>
      </c>
      <c r="O65" t="s">
        <v>1286</v>
      </c>
      <c r="P65" s="358" t="s">
        <v>183</v>
      </c>
      <c r="Q65" s="358" t="s">
        <v>183</v>
      </c>
    </row>
    <row r="66" spans="14:17" x14ac:dyDescent="0.25">
      <c r="N66" t="s">
        <v>172</v>
      </c>
      <c r="O66" t="s">
        <v>431</v>
      </c>
      <c r="P66" s="358" t="s">
        <v>184</v>
      </c>
      <c r="Q66" s="358" t="s">
        <v>184</v>
      </c>
    </row>
    <row r="67" spans="14:17" x14ac:dyDescent="0.25">
      <c r="N67" t="s">
        <v>610</v>
      </c>
      <c r="O67" t="s">
        <v>228</v>
      </c>
      <c r="P67" s="358" t="s">
        <v>379</v>
      </c>
      <c r="Q67" s="358" t="s">
        <v>379</v>
      </c>
    </row>
    <row r="68" spans="14:17" x14ac:dyDescent="0.25">
      <c r="N68" t="s">
        <v>611</v>
      </c>
      <c r="O68" t="s">
        <v>229</v>
      </c>
      <c r="P68" s="358" t="s">
        <v>338</v>
      </c>
      <c r="Q68" s="358" t="s">
        <v>176</v>
      </c>
    </row>
    <row r="69" spans="14:17" x14ac:dyDescent="0.25">
      <c r="N69" t="s">
        <v>612</v>
      </c>
      <c r="O69" t="s">
        <v>432</v>
      </c>
      <c r="P69" s="358" t="s">
        <v>205</v>
      </c>
      <c r="Q69" s="358" t="s">
        <v>854</v>
      </c>
    </row>
    <row r="70" spans="14:17" x14ac:dyDescent="0.25">
      <c r="N70" t="s">
        <v>613</v>
      </c>
      <c r="O70" t="s">
        <v>230</v>
      </c>
      <c r="P70" s="358" t="s">
        <v>414</v>
      </c>
      <c r="Q70" s="358" t="s">
        <v>1063</v>
      </c>
    </row>
    <row r="71" spans="14:17" x14ac:dyDescent="0.25">
      <c r="N71" t="s">
        <v>614</v>
      </c>
      <c r="O71" t="s">
        <v>231</v>
      </c>
      <c r="P71" s="358" t="s">
        <v>415</v>
      </c>
      <c r="Q71" s="358" t="s">
        <v>1063</v>
      </c>
    </row>
    <row r="72" spans="14:17" x14ac:dyDescent="0.25">
      <c r="N72" t="s">
        <v>615</v>
      </c>
      <c r="O72" t="s">
        <v>353</v>
      </c>
      <c r="P72" s="358" t="s">
        <v>416</v>
      </c>
      <c r="Q72" s="358" t="s">
        <v>1063</v>
      </c>
    </row>
    <row r="73" spans="14:17" x14ac:dyDescent="0.25">
      <c r="N73" t="s">
        <v>616</v>
      </c>
      <c r="O73" t="s">
        <v>232</v>
      </c>
      <c r="P73" s="358" t="s">
        <v>417</v>
      </c>
      <c r="Q73" s="358" t="s">
        <v>1063</v>
      </c>
    </row>
    <row r="74" spans="14:17" x14ac:dyDescent="0.25">
      <c r="N74" t="s">
        <v>617</v>
      </c>
      <c r="O74" t="s">
        <v>790</v>
      </c>
      <c r="P74" s="358" t="s">
        <v>402</v>
      </c>
      <c r="Q74" s="358" t="s">
        <v>1064</v>
      </c>
    </row>
    <row r="75" spans="14:17" x14ac:dyDescent="0.25">
      <c r="N75" t="s">
        <v>618</v>
      </c>
      <c r="O75" t="s">
        <v>233</v>
      </c>
      <c r="P75" s="358" t="s">
        <v>336</v>
      </c>
      <c r="Q75" s="358" t="s">
        <v>836</v>
      </c>
    </row>
    <row r="76" spans="14:17" x14ac:dyDescent="0.25">
      <c r="N76" t="s">
        <v>619</v>
      </c>
      <c r="O76" t="s">
        <v>165</v>
      </c>
      <c r="P76" s="358" t="s">
        <v>336</v>
      </c>
      <c r="Q76" s="358" t="s">
        <v>837</v>
      </c>
    </row>
    <row r="77" spans="14:17" x14ac:dyDescent="0.25">
      <c r="N77" t="s">
        <v>173</v>
      </c>
      <c r="O77" t="s">
        <v>820</v>
      </c>
      <c r="P77" s="358" t="s">
        <v>337</v>
      </c>
      <c r="Q77" s="358" t="s">
        <v>836</v>
      </c>
    </row>
    <row r="78" spans="14:17" x14ac:dyDescent="0.25">
      <c r="N78" t="s">
        <v>174</v>
      </c>
      <c r="O78" t="s">
        <v>354</v>
      </c>
      <c r="P78" s="358" t="s">
        <v>337</v>
      </c>
      <c r="Q78" s="358" t="s">
        <v>837</v>
      </c>
    </row>
    <row r="79" spans="14:17" x14ac:dyDescent="0.25">
      <c r="N79" t="s">
        <v>620</v>
      </c>
      <c r="O79" t="s">
        <v>440</v>
      </c>
      <c r="P79" s="358" t="s">
        <v>204</v>
      </c>
      <c r="Q79" s="358" t="s">
        <v>588</v>
      </c>
    </row>
    <row r="80" spans="14:17" x14ac:dyDescent="0.25">
      <c r="N80" t="s">
        <v>175</v>
      </c>
      <c r="O80" t="s">
        <v>792</v>
      </c>
      <c r="P80" s="358" t="s">
        <v>204</v>
      </c>
      <c r="Q80" s="358" t="s">
        <v>659</v>
      </c>
    </row>
    <row r="81" spans="14:17" x14ac:dyDescent="0.25">
      <c r="N81" t="s">
        <v>176</v>
      </c>
      <c r="O81" t="s">
        <v>355</v>
      </c>
      <c r="P81" s="358" t="s">
        <v>204</v>
      </c>
      <c r="Q81" s="358" t="s">
        <v>765</v>
      </c>
    </row>
    <row r="82" spans="14:17" x14ac:dyDescent="0.25">
      <c r="N82" t="s">
        <v>621</v>
      </c>
      <c r="O82" t="s">
        <v>234</v>
      </c>
      <c r="P82" s="358" t="s">
        <v>204</v>
      </c>
      <c r="Q82" s="358" t="s">
        <v>766</v>
      </c>
    </row>
    <row r="83" spans="14:17" x14ac:dyDescent="0.25">
      <c r="N83" t="s">
        <v>622</v>
      </c>
      <c r="O83" t="s">
        <v>235</v>
      </c>
      <c r="P83" s="358" t="s">
        <v>203</v>
      </c>
      <c r="Q83" s="358" t="s">
        <v>1065</v>
      </c>
    </row>
    <row r="84" spans="14:17" x14ac:dyDescent="0.25">
      <c r="N84" t="s">
        <v>623</v>
      </c>
      <c r="O84" t="s">
        <v>443</v>
      </c>
      <c r="P84" s="358" t="s">
        <v>203</v>
      </c>
      <c r="Q84" s="358" t="s">
        <v>855</v>
      </c>
    </row>
    <row r="85" spans="14:17" x14ac:dyDescent="0.25">
      <c r="N85" t="s">
        <v>624</v>
      </c>
      <c r="O85" t="s">
        <v>236</v>
      </c>
      <c r="P85" s="358" t="s">
        <v>203</v>
      </c>
      <c r="Q85" s="358" t="s">
        <v>1066</v>
      </c>
    </row>
    <row r="86" spans="14:17" x14ac:dyDescent="0.25">
      <c r="N86" t="s">
        <v>625</v>
      </c>
      <c r="O86" t="s">
        <v>237</v>
      </c>
      <c r="P86" s="358" t="s">
        <v>203</v>
      </c>
      <c r="Q86" s="358" t="s">
        <v>1067</v>
      </c>
    </row>
    <row r="87" spans="14:17" x14ac:dyDescent="0.25">
      <c r="N87" t="s">
        <v>626</v>
      </c>
      <c r="O87" t="s">
        <v>238</v>
      </c>
      <c r="P87" s="358" t="s">
        <v>203</v>
      </c>
      <c r="Q87" s="358" t="s">
        <v>856</v>
      </c>
    </row>
    <row r="88" spans="14:17" x14ac:dyDescent="0.25">
      <c r="N88" t="s">
        <v>627</v>
      </c>
      <c r="O88" t="s">
        <v>239</v>
      </c>
      <c r="P88" s="358" t="s">
        <v>203</v>
      </c>
      <c r="Q88" s="358" t="s">
        <v>857</v>
      </c>
    </row>
    <row r="89" spans="14:17" x14ac:dyDescent="0.25">
      <c r="N89" t="s">
        <v>628</v>
      </c>
      <c r="O89" t="s">
        <v>240</v>
      </c>
      <c r="P89" s="358" t="s">
        <v>203</v>
      </c>
      <c r="Q89" s="358" t="s">
        <v>1068</v>
      </c>
    </row>
    <row r="90" spans="14:17" x14ac:dyDescent="0.25">
      <c r="N90" t="s">
        <v>629</v>
      </c>
      <c r="O90" t="s">
        <v>241</v>
      </c>
      <c r="P90" s="358" t="s">
        <v>203</v>
      </c>
      <c r="Q90" s="358" t="s">
        <v>1069</v>
      </c>
    </row>
    <row r="91" spans="14:17" x14ac:dyDescent="0.25">
      <c r="N91" t="s">
        <v>630</v>
      </c>
      <c r="O91" t="s">
        <v>444</v>
      </c>
      <c r="P91" s="358" t="s">
        <v>203</v>
      </c>
      <c r="Q91" s="358" t="s">
        <v>1070</v>
      </c>
    </row>
    <row r="92" spans="14:17" x14ac:dyDescent="0.25">
      <c r="N92" t="s">
        <v>631</v>
      </c>
      <c r="O92" t="s">
        <v>1149</v>
      </c>
      <c r="P92" s="358" t="s">
        <v>203</v>
      </c>
      <c r="Q92" s="358" t="s">
        <v>1071</v>
      </c>
    </row>
    <row r="93" spans="14:17" x14ac:dyDescent="0.25">
      <c r="N93" t="s">
        <v>632</v>
      </c>
      <c r="O93" t="s">
        <v>1150</v>
      </c>
      <c r="P93" s="358" t="s">
        <v>203</v>
      </c>
      <c r="Q93" s="358" t="s">
        <v>858</v>
      </c>
    </row>
    <row r="94" spans="14:17" x14ac:dyDescent="0.25">
      <c r="N94" t="s">
        <v>633</v>
      </c>
      <c r="O94" t="s">
        <v>242</v>
      </c>
      <c r="P94" s="358" t="s">
        <v>203</v>
      </c>
      <c r="Q94" s="358" t="s">
        <v>1072</v>
      </c>
    </row>
    <row r="95" spans="14:17" x14ac:dyDescent="0.25">
      <c r="N95" t="s">
        <v>634</v>
      </c>
      <c r="O95" t="s">
        <v>787</v>
      </c>
      <c r="P95" s="358" t="s">
        <v>203</v>
      </c>
      <c r="Q95" s="358" t="s">
        <v>859</v>
      </c>
    </row>
    <row r="96" spans="14:17" x14ac:dyDescent="0.25">
      <c r="N96" t="s">
        <v>635</v>
      </c>
      <c r="O96" t="s">
        <v>243</v>
      </c>
      <c r="P96" s="358" t="s">
        <v>203</v>
      </c>
      <c r="Q96" s="358" t="s">
        <v>860</v>
      </c>
    </row>
    <row r="97" spans="14:17" x14ac:dyDescent="0.25">
      <c r="N97" t="s">
        <v>636</v>
      </c>
      <c r="O97" t="s">
        <v>244</v>
      </c>
      <c r="P97" s="358" t="s">
        <v>203</v>
      </c>
      <c r="Q97" s="358" t="s">
        <v>1073</v>
      </c>
    </row>
    <row r="98" spans="14:17" x14ac:dyDescent="0.25">
      <c r="N98" t="s">
        <v>637</v>
      </c>
      <c r="O98" t="s">
        <v>245</v>
      </c>
      <c r="P98" s="358" t="s">
        <v>203</v>
      </c>
      <c r="Q98" s="358" t="s">
        <v>1074</v>
      </c>
    </row>
    <row r="99" spans="14:17" x14ac:dyDescent="0.25">
      <c r="N99" t="s">
        <v>638</v>
      </c>
      <c r="O99" t="s">
        <v>169</v>
      </c>
      <c r="P99" s="358" t="s">
        <v>203</v>
      </c>
      <c r="Q99" s="358" t="s">
        <v>861</v>
      </c>
    </row>
    <row r="100" spans="14:17" x14ac:dyDescent="0.25">
      <c r="N100" t="s">
        <v>639</v>
      </c>
      <c r="O100" t="s">
        <v>246</v>
      </c>
      <c r="P100" s="358" t="s">
        <v>203</v>
      </c>
      <c r="Q100" s="358" t="s">
        <v>1075</v>
      </c>
    </row>
    <row r="101" spans="14:17" x14ac:dyDescent="0.25">
      <c r="N101" t="s">
        <v>640</v>
      </c>
      <c r="O101" t="s">
        <v>356</v>
      </c>
      <c r="P101" s="358" t="s">
        <v>203</v>
      </c>
      <c r="Q101" s="358" t="s">
        <v>1076</v>
      </c>
    </row>
    <row r="102" spans="14:17" x14ac:dyDescent="0.25">
      <c r="N102" t="s">
        <v>641</v>
      </c>
      <c r="O102" t="s">
        <v>357</v>
      </c>
      <c r="P102" s="358" t="s">
        <v>203</v>
      </c>
      <c r="Q102" s="358" t="s">
        <v>1077</v>
      </c>
    </row>
    <row r="103" spans="14:17" x14ac:dyDescent="0.25">
      <c r="N103" t="s">
        <v>642</v>
      </c>
      <c r="O103" t="s">
        <v>844</v>
      </c>
      <c r="P103" s="358" t="s">
        <v>203</v>
      </c>
      <c r="Q103" s="358" t="s">
        <v>1078</v>
      </c>
    </row>
    <row r="104" spans="14:17" x14ac:dyDescent="0.25">
      <c r="N104" t="s">
        <v>643</v>
      </c>
      <c r="O104" t="s">
        <v>845</v>
      </c>
      <c r="P104" s="358" t="s">
        <v>203</v>
      </c>
      <c r="Q104" s="358" t="s">
        <v>1079</v>
      </c>
    </row>
    <row r="105" spans="14:17" x14ac:dyDescent="0.25">
      <c r="N105" t="s">
        <v>644</v>
      </c>
      <c r="O105" t="s">
        <v>358</v>
      </c>
      <c r="P105" s="358" t="s">
        <v>203</v>
      </c>
      <c r="Q105" s="358" t="s">
        <v>862</v>
      </c>
    </row>
    <row r="106" spans="14:17" x14ac:dyDescent="0.25">
      <c r="N106" t="s">
        <v>645</v>
      </c>
      <c r="O106" t="s">
        <v>359</v>
      </c>
      <c r="P106" s="358" t="s">
        <v>203</v>
      </c>
      <c r="Q106" s="358" t="s">
        <v>1080</v>
      </c>
    </row>
    <row r="107" spans="14:17" x14ac:dyDescent="0.25">
      <c r="N107" t="s">
        <v>177</v>
      </c>
      <c r="O107" t="s">
        <v>360</v>
      </c>
      <c r="P107" s="358" t="s">
        <v>203</v>
      </c>
      <c r="Q107" s="358" t="s">
        <v>1081</v>
      </c>
    </row>
    <row r="108" spans="14:17" x14ac:dyDescent="0.25">
      <c r="N108" t="s">
        <v>178</v>
      </c>
      <c r="O108" t="s">
        <v>361</v>
      </c>
      <c r="P108" s="358" t="s">
        <v>203</v>
      </c>
      <c r="Q108" s="358" t="s">
        <v>863</v>
      </c>
    </row>
    <row r="109" spans="14:17" x14ac:dyDescent="0.25">
      <c r="N109" t="s">
        <v>646</v>
      </c>
      <c r="O109" t="s">
        <v>362</v>
      </c>
      <c r="P109" s="358" t="s">
        <v>203</v>
      </c>
      <c r="Q109" s="358" t="s">
        <v>1082</v>
      </c>
    </row>
    <row r="110" spans="14:17" x14ac:dyDescent="0.25">
      <c r="N110" t="s">
        <v>179</v>
      </c>
      <c r="O110" t="s">
        <v>363</v>
      </c>
      <c r="P110" s="358" t="s">
        <v>403</v>
      </c>
      <c r="Q110" s="358" t="s">
        <v>624</v>
      </c>
    </row>
    <row r="111" spans="14:17" x14ac:dyDescent="0.25">
      <c r="N111" t="s">
        <v>647</v>
      </c>
      <c r="O111" t="s">
        <v>364</v>
      </c>
      <c r="P111" s="358" t="s">
        <v>339</v>
      </c>
      <c r="Q111" s="358" t="s">
        <v>839</v>
      </c>
    </row>
    <row r="112" spans="14:17" x14ac:dyDescent="0.25">
      <c r="N112" t="s">
        <v>648</v>
      </c>
      <c r="O112" t="s">
        <v>365</v>
      </c>
      <c r="P112" s="358" t="s">
        <v>339</v>
      </c>
      <c r="Q112" s="358" t="s">
        <v>840</v>
      </c>
    </row>
    <row r="113" spans="14:17" x14ac:dyDescent="0.25">
      <c r="N113" t="s">
        <v>649</v>
      </c>
      <c r="O113" t="s">
        <v>1151</v>
      </c>
      <c r="P113" s="358" t="s">
        <v>339</v>
      </c>
      <c r="Q113" s="358" t="s">
        <v>841</v>
      </c>
    </row>
    <row r="114" spans="14:17" x14ac:dyDescent="0.25">
      <c r="N114" t="s">
        <v>650</v>
      </c>
      <c r="O114" t="s">
        <v>366</v>
      </c>
      <c r="P114" s="358" t="s">
        <v>340</v>
      </c>
      <c r="Q114" s="358" t="s">
        <v>864</v>
      </c>
    </row>
    <row r="115" spans="14:17" x14ac:dyDescent="0.25">
      <c r="N115" t="s">
        <v>651</v>
      </c>
      <c r="O115" t="s">
        <v>367</v>
      </c>
      <c r="P115" s="358" t="s">
        <v>340</v>
      </c>
      <c r="Q115" s="358" t="s">
        <v>865</v>
      </c>
    </row>
    <row r="116" spans="14:17" x14ac:dyDescent="0.25">
      <c r="N116" t="s">
        <v>180</v>
      </c>
      <c r="O116" t="s">
        <v>368</v>
      </c>
      <c r="P116" s="358" t="s">
        <v>340</v>
      </c>
      <c r="Q116" s="358" t="s">
        <v>866</v>
      </c>
    </row>
    <row r="117" spans="14:17" x14ac:dyDescent="0.25">
      <c r="N117" t="s">
        <v>652</v>
      </c>
      <c r="O117" t="s">
        <v>247</v>
      </c>
      <c r="P117" s="358" t="s">
        <v>341</v>
      </c>
      <c r="Q117" s="358" t="s">
        <v>648</v>
      </c>
    </row>
    <row r="118" spans="14:17" x14ac:dyDescent="0.25">
      <c r="N118" t="s">
        <v>653</v>
      </c>
      <c r="O118" t="s">
        <v>248</v>
      </c>
      <c r="P118" s="358" t="s">
        <v>341</v>
      </c>
      <c r="Q118" s="358" t="s">
        <v>657</v>
      </c>
    </row>
    <row r="119" spans="14:17" x14ac:dyDescent="0.25">
      <c r="N119" t="s">
        <v>654</v>
      </c>
      <c r="O119" t="s">
        <v>249</v>
      </c>
      <c r="P119" s="358" t="s">
        <v>341</v>
      </c>
      <c r="Q119" s="358" t="s">
        <v>741</v>
      </c>
    </row>
    <row r="120" spans="14:17" x14ac:dyDescent="0.25">
      <c r="N120" t="s">
        <v>655</v>
      </c>
      <c r="O120" t="s">
        <v>566</v>
      </c>
      <c r="P120" s="358" t="s">
        <v>206</v>
      </c>
      <c r="Q120" s="358" t="s">
        <v>867</v>
      </c>
    </row>
    <row r="121" spans="14:17" x14ac:dyDescent="0.25">
      <c r="N121" t="s">
        <v>656</v>
      </c>
      <c r="O121" t="s">
        <v>1152</v>
      </c>
      <c r="P121" s="358" t="s">
        <v>206</v>
      </c>
      <c r="Q121" s="358" t="s">
        <v>593</v>
      </c>
    </row>
    <row r="122" spans="14:17" x14ac:dyDescent="0.25">
      <c r="N122" t="s">
        <v>657</v>
      </c>
      <c r="O122" t="s">
        <v>917</v>
      </c>
      <c r="P122" s="358" t="s">
        <v>206</v>
      </c>
      <c r="Q122" s="358" t="s">
        <v>153</v>
      </c>
    </row>
    <row r="123" spans="14:17" x14ac:dyDescent="0.25">
      <c r="N123" t="s">
        <v>181</v>
      </c>
      <c r="O123" t="s">
        <v>369</v>
      </c>
      <c r="P123" s="358" t="s">
        <v>206</v>
      </c>
      <c r="Q123" s="358" t="s">
        <v>154</v>
      </c>
    </row>
    <row r="124" spans="14:17" x14ac:dyDescent="0.25">
      <c r="N124" t="s">
        <v>658</v>
      </c>
      <c r="O124" t="s">
        <v>446</v>
      </c>
      <c r="P124" s="358" t="s">
        <v>206</v>
      </c>
      <c r="Q124" s="358" t="s">
        <v>155</v>
      </c>
    </row>
    <row r="125" spans="14:17" x14ac:dyDescent="0.25">
      <c r="N125" t="s">
        <v>659</v>
      </c>
      <c r="O125" t="s">
        <v>250</v>
      </c>
      <c r="P125" s="358" t="s">
        <v>206</v>
      </c>
      <c r="Q125" s="358" t="s">
        <v>156</v>
      </c>
    </row>
    <row r="126" spans="14:17" x14ac:dyDescent="0.25">
      <c r="N126" t="s">
        <v>660</v>
      </c>
      <c r="O126" t="s">
        <v>251</v>
      </c>
      <c r="P126" s="358" t="s">
        <v>207</v>
      </c>
      <c r="Q126" s="358" t="s">
        <v>867</v>
      </c>
    </row>
    <row r="127" spans="14:17" x14ac:dyDescent="0.25">
      <c r="N127" t="s">
        <v>661</v>
      </c>
      <c r="O127" t="s">
        <v>252</v>
      </c>
      <c r="P127" s="358" t="s">
        <v>207</v>
      </c>
      <c r="Q127" s="358" t="s">
        <v>593</v>
      </c>
    </row>
    <row r="128" spans="14:17" x14ac:dyDescent="0.25">
      <c r="N128" t="s">
        <v>662</v>
      </c>
      <c r="O128" t="s">
        <v>447</v>
      </c>
      <c r="P128" s="358" t="s">
        <v>207</v>
      </c>
      <c r="Q128" s="358" t="s">
        <v>153</v>
      </c>
    </row>
    <row r="129" spans="14:17" x14ac:dyDescent="0.25">
      <c r="N129" t="s">
        <v>663</v>
      </c>
      <c r="O129" t="s">
        <v>370</v>
      </c>
      <c r="P129" s="358" t="s">
        <v>207</v>
      </c>
      <c r="Q129" s="358" t="s">
        <v>154</v>
      </c>
    </row>
    <row r="130" spans="14:17" x14ac:dyDescent="0.25">
      <c r="N130" t="s">
        <v>664</v>
      </c>
      <c r="O130" t="s">
        <v>371</v>
      </c>
      <c r="P130" s="358" t="s">
        <v>207</v>
      </c>
      <c r="Q130" s="358" t="s">
        <v>155</v>
      </c>
    </row>
    <row r="131" spans="14:17" x14ac:dyDescent="0.25">
      <c r="N131" t="s">
        <v>665</v>
      </c>
      <c r="O131" t="s">
        <v>253</v>
      </c>
      <c r="P131" s="358" t="s">
        <v>207</v>
      </c>
      <c r="Q131" s="358" t="s">
        <v>156</v>
      </c>
    </row>
    <row r="132" spans="14:17" x14ac:dyDescent="0.25">
      <c r="N132" t="s">
        <v>666</v>
      </c>
      <c r="O132" t="s">
        <v>448</v>
      </c>
      <c r="P132" s="358" t="s">
        <v>404</v>
      </c>
      <c r="Q132" s="358" t="s">
        <v>1083</v>
      </c>
    </row>
    <row r="133" spans="14:17" x14ac:dyDescent="0.25">
      <c r="N133" t="s">
        <v>667</v>
      </c>
      <c r="O133" t="s">
        <v>1153</v>
      </c>
      <c r="P133" s="358" t="s">
        <v>405</v>
      </c>
      <c r="Q133" s="358" t="s">
        <v>1084</v>
      </c>
    </row>
    <row r="134" spans="14:17" x14ac:dyDescent="0.25">
      <c r="N134" t="s">
        <v>668</v>
      </c>
      <c r="O134" t="s">
        <v>372</v>
      </c>
      <c r="P134" s="358" t="s">
        <v>406</v>
      </c>
      <c r="Q134" s="358" t="s">
        <v>1085</v>
      </c>
    </row>
    <row r="135" spans="14:17" x14ac:dyDescent="0.25">
      <c r="N135" t="s">
        <v>669</v>
      </c>
      <c r="O135" t="s">
        <v>921</v>
      </c>
      <c r="P135" s="358" t="s">
        <v>406</v>
      </c>
      <c r="Q135" s="358" t="s">
        <v>37</v>
      </c>
    </row>
    <row r="136" spans="14:17" x14ac:dyDescent="0.25">
      <c r="N136" t="s">
        <v>670</v>
      </c>
      <c r="O136" t="s">
        <v>373</v>
      </c>
      <c r="P136" s="358" t="s">
        <v>407</v>
      </c>
      <c r="Q136" s="358" t="s">
        <v>1085</v>
      </c>
    </row>
    <row r="137" spans="14:17" x14ac:dyDescent="0.25">
      <c r="N137" t="s">
        <v>671</v>
      </c>
      <c r="O137" t="s">
        <v>374</v>
      </c>
      <c r="P137" s="358" t="s">
        <v>408</v>
      </c>
      <c r="Q137" s="358" t="s">
        <v>1086</v>
      </c>
    </row>
    <row r="138" spans="14:17" x14ac:dyDescent="0.25">
      <c r="N138" t="s">
        <v>672</v>
      </c>
      <c r="O138" t="s">
        <v>375</v>
      </c>
      <c r="P138" s="358" t="s">
        <v>410</v>
      </c>
      <c r="Q138" s="358" t="s">
        <v>1087</v>
      </c>
    </row>
    <row r="139" spans="14:17" x14ac:dyDescent="0.25">
      <c r="N139" t="s">
        <v>673</v>
      </c>
      <c r="O139" t="s">
        <v>567</v>
      </c>
      <c r="P139" s="358" t="s">
        <v>409</v>
      </c>
      <c r="Q139" s="358" t="s">
        <v>1087</v>
      </c>
    </row>
    <row r="140" spans="14:17" x14ac:dyDescent="0.25">
      <c r="N140" t="s">
        <v>674</v>
      </c>
      <c r="O140" t="s">
        <v>457</v>
      </c>
      <c r="P140" s="358" t="s">
        <v>412</v>
      </c>
      <c r="Q140" s="358" t="s">
        <v>1061</v>
      </c>
    </row>
    <row r="141" spans="14:17" x14ac:dyDescent="0.25">
      <c r="N141" t="s">
        <v>675</v>
      </c>
      <c r="O141" t="s">
        <v>254</v>
      </c>
      <c r="P141" s="358" t="s">
        <v>413</v>
      </c>
      <c r="Q141" s="358" t="s">
        <v>1061</v>
      </c>
    </row>
    <row r="142" spans="14:17" x14ac:dyDescent="0.25">
      <c r="N142" t="s">
        <v>676</v>
      </c>
      <c r="O142" t="s">
        <v>795</v>
      </c>
      <c r="P142" s="358" t="s">
        <v>411</v>
      </c>
      <c r="Q142" s="358" t="s">
        <v>1061</v>
      </c>
    </row>
    <row r="143" spans="14:17" x14ac:dyDescent="0.25">
      <c r="N143" t="s">
        <v>677</v>
      </c>
      <c r="O143" t="s">
        <v>376</v>
      </c>
      <c r="P143" s="358" t="s">
        <v>821</v>
      </c>
      <c r="Q143" s="358" t="s">
        <v>1061</v>
      </c>
    </row>
    <row r="144" spans="14:17" x14ac:dyDescent="0.25">
      <c r="N144" t="s">
        <v>678</v>
      </c>
      <c r="O144" t="s">
        <v>377</v>
      </c>
      <c r="P144" s="358" t="s">
        <v>208</v>
      </c>
      <c r="Q144" s="358" t="s">
        <v>172</v>
      </c>
    </row>
    <row r="145" spans="14:17" x14ac:dyDescent="0.25">
      <c r="N145" t="s">
        <v>679</v>
      </c>
      <c r="O145" t="s">
        <v>255</v>
      </c>
      <c r="P145" s="358" t="s">
        <v>208</v>
      </c>
      <c r="Q145" s="358" t="s">
        <v>1088</v>
      </c>
    </row>
    <row r="146" spans="14:17" x14ac:dyDescent="0.25">
      <c r="N146" t="s">
        <v>680</v>
      </c>
      <c r="O146" t="s">
        <v>256</v>
      </c>
      <c r="P146" s="358" t="s">
        <v>208</v>
      </c>
      <c r="Q146" s="358" t="s">
        <v>868</v>
      </c>
    </row>
    <row r="147" spans="14:17" x14ac:dyDescent="0.25">
      <c r="N147" t="s">
        <v>681</v>
      </c>
      <c r="O147" t="s">
        <v>257</v>
      </c>
      <c r="P147" s="358" t="s">
        <v>208</v>
      </c>
      <c r="Q147" s="358" t="s">
        <v>869</v>
      </c>
    </row>
    <row r="148" spans="14:17" x14ac:dyDescent="0.25">
      <c r="N148" t="s">
        <v>682</v>
      </c>
      <c r="O148" t="s">
        <v>258</v>
      </c>
      <c r="P148" s="358" t="s">
        <v>209</v>
      </c>
      <c r="Q148" s="358" t="s">
        <v>172</v>
      </c>
    </row>
    <row r="149" spans="14:17" x14ac:dyDescent="0.25">
      <c r="N149" t="s">
        <v>683</v>
      </c>
      <c r="O149" t="s">
        <v>259</v>
      </c>
      <c r="P149" s="358" t="s">
        <v>209</v>
      </c>
      <c r="Q149" s="358" t="s">
        <v>1088</v>
      </c>
    </row>
    <row r="150" spans="14:17" x14ac:dyDescent="0.25">
      <c r="N150" t="s">
        <v>684</v>
      </c>
      <c r="O150" t="s">
        <v>260</v>
      </c>
      <c r="P150" s="358" t="s">
        <v>209</v>
      </c>
      <c r="Q150" s="358" t="s">
        <v>868</v>
      </c>
    </row>
    <row r="151" spans="14:17" x14ac:dyDescent="0.25">
      <c r="N151" t="s">
        <v>685</v>
      </c>
      <c r="O151" t="s">
        <v>175</v>
      </c>
      <c r="P151" s="358" t="s">
        <v>209</v>
      </c>
      <c r="Q151" s="358" t="s">
        <v>869</v>
      </c>
    </row>
    <row r="152" spans="14:17" x14ac:dyDescent="0.25">
      <c r="N152" t="s">
        <v>686</v>
      </c>
      <c r="O152" t="s">
        <v>176</v>
      </c>
      <c r="P152" s="358" t="s">
        <v>342</v>
      </c>
      <c r="Q152" s="358" t="s">
        <v>870</v>
      </c>
    </row>
    <row r="153" spans="14:17" x14ac:dyDescent="0.25">
      <c r="N153" t="s">
        <v>687</v>
      </c>
      <c r="O153" t="s">
        <v>378</v>
      </c>
      <c r="P153" s="358" t="s">
        <v>418</v>
      </c>
      <c r="Q153" s="358" t="s">
        <v>1086</v>
      </c>
    </row>
    <row r="154" spans="14:17" x14ac:dyDescent="0.25">
      <c r="N154" t="s">
        <v>688</v>
      </c>
      <c r="O154" t="s">
        <v>261</v>
      </c>
      <c r="P154" s="358" t="s">
        <v>419</v>
      </c>
      <c r="Q154" s="358" t="s">
        <v>1089</v>
      </c>
    </row>
    <row r="155" spans="14:17" x14ac:dyDescent="0.25">
      <c r="N155" t="s">
        <v>689</v>
      </c>
      <c r="O155" t="s">
        <v>262</v>
      </c>
      <c r="P155" s="358" t="s">
        <v>343</v>
      </c>
      <c r="Q155" s="358" t="s">
        <v>577</v>
      </c>
    </row>
    <row r="156" spans="14:17" x14ac:dyDescent="0.25">
      <c r="N156" t="s">
        <v>690</v>
      </c>
      <c r="O156" t="s">
        <v>263</v>
      </c>
      <c r="P156" s="358" t="s">
        <v>343</v>
      </c>
      <c r="Q156" s="358" t="s">
        <v>578</v>
      </c>
    </row>
    <row r="157" spans="14:17" x14ac:dyDescent="0.25">
      <c r="N157" t="s">
        <v>691</v>
      </c>
      <c r="O157" t="s">
        <v>1052</v>
      </c>
      <c r="P157" s="358" t="s">
        <v>343</v>
      </c>
      <c r="Q157" s="358" t="s">
        <v>871</v>
      </c>
    </row>
    <row r="158" spans="14:17" x14ac:dyDescent="0.25">
      <c r="N158" t="s">
        <v>692</v>
      </c>
      <c r="O158" t="s">
        <v>1053</v>
      </c>
      <c r="P158" s="358" t="s">
        <v>343</v>
      </c>
      <c r="Q158" s="358" t="s">
        <v>872</v>
      </c>
    </row>
    <row r="159" spans="14:17" x14ac:dyDescent="0.25">
      <c r="N159" t="s">
        <v>693</v>
      </c>
      <c r="O159" t="s">
        <v>1054</v>
      </c>
      <c r="P159" s="358" t="s">
        <v>343</v>
      </c>
      <c r="Q159" s="358" t="s">
        <v>873</v>
      </c>
    </row>
    <row r="160" spans="14:17" x14ac:dyDescent="0.25">
      <c r="N160" t="s">
        <v>694</v>
      </c>
      <c r="O160" t="s">
        <v>1055</v>
      </c>
      <c r="P160" s="358" t="s">
        <v>343</v>
      </c>
      <c r="Q160" s="358" t="s">
        <v>874</v>
      </c>
    </row>
    <row r="161" spans="14:17" x14ac:dyDescent="0.25">
      <c r="N161" t="s">
        <v>695</v>
      </c>
      <c r="O161" t="s">
        <v>1056</v>
      </c>
      <c r="P161" s="358" t="s">
        <v>343</v>
      </c>
      <c r="Q161" s="358" t="s">
        <v>875</v>
      </c>
    </row>
    <row r="162" spans="14:17" x14ac:dyDescent="0.25">
      <c r="N162" t="s">
        <v>182</v>
      </c>
      <c r="O162" t="s">
        <v>1057</v>
      </c>
      <c r="P162" s="358" t="s">
        <v>343</v>
      </c>
      <c r="Q162" s="358" t="s">
        <v>876</v>
      </c>
    </row>
    <row r="163" spans="14:17" x14ac:dyDescent="0.25">
      <c r="N163" t="s">
        <v>183</v>
      </c>
      <c r="O163" t="s">
        <v>182</v>
      </c>
      <c r="P163" s="358" t="s">
        <v>343</v>
      </c>
      <c r="Q163" s="358" t="s">
        <v>877</v>
      </c>
    </row>
    <row r="164" spans="14:17" x14ac:dyDescent="0.25">
      <c r="N164" t="s">
        <v>184</v>
      </c>
      <c r="O164" t="s">
        <v>183</v>
      </c>
      <c r="P164" s="358" t="s">
        <v>343</v>
      </c>
      <c r="Q164" s="358" t="s">
        <v>580</v>
      </c>
    </row>
    <row r="165" spans="14:17" x14ac:dyDescent="0.25">
      <c r="N165" t="s">
        <v>185</v>
      </c>
      <c r="O165" t="s">
        <v>184</v>
      </c>
      <c r="P165" s="358" t="s">
        <v>343</v>
      </c>
      <c r="Q165" s="358" t="s">
        <v>581</v>
      </c>
    </row>
    <row r="166" spans="14:17" x14ac:dyDescent="0.25">
      <c r="N166" t="s">
        <v>696</v>
      </c>
      <c r="O166" t="s">
        <v>264</v>
      </c>
      <c r="P166" s="358" t="s">
        <v>343</v>
      </c>
      <c r="Q166" s="358" t="s">
        <v>1160</v>
      </c>
    </row>
    <row r="167" spans="14:17" x14ac:dyDescent="0.25">
      <c r="N167" t="s">
        <v>697</v>
      </c>
      <c r="O167" t="s">
        <v>1154</v>
      </c>
      <c r="P167" s="358" t="s">
        <v>343</v>
      </c>
      <c r="Q167" s="358" t="s">
        <v>1161</v>
      </c>
    </row>
    <row r="168" spans="14:17" x14ac:dyDescent="0.25">
      <c r="N168" t="s">
        <v>698</v>
      </c>
      <c r="O168" t="s">
        <v>1155</v>
      </c>
      <c r="P168" s="358" t="s">
        <v>420</v>
      </c>
      <c r="Q168" s="358" t="s">
        <v>1090</v>
      </c>
    </row>
    <row r="169" spans="14:17" x14ac:dyDescent="0.25">
      <c r="N169" t="s">
        <v>699</v>
      </c>
      <c r="O169" t="s">
        <v>1156</v>
      </c>
      <c r="P169" s="358" t="s">
        <v>344</v>
      </c>
      <c r="Q169" s="358" t="s">
        <v>175</v>
      </c>
    </row>
    <row r="170" spans="14:17" x14ac:dyDescent="0.25">
      <c r="N170" t="s">
        <v>700</v>
      </c>
      <c r="O170" t="s">
        <v>379</v>
      </c>
      <c r="P170" s="358" t="s">
        <v>147</v>
      </c>
      <c r="Q170" s="358" t="s">
        <v>147</v>
      </c>
    </row>
    <row r="171" spans="14:17" x14ac:dyDescent="0.25">
      <c r="N171" t="s">
        <v>701</v>
      </c>
      <c r="O171" t="s">
        <v>466</v>
      </c>
      <c r="P171" s="358" t="s">
        <v>421</v>
      </c>
      <c r="Q171" s="358" t="s">
        <v>1091</v>
      </c>
    </row>
    <row r="172" spans="14:17" x14ac:dyDescent="0.25">
      <c r="N172" t="s">
        <v>702</v>
      </c>
      <c r="O172" t="s">
        <v>265</v>
      </c>
      <c r="P172" s="358" t="s">
        <v>210</v>
      </c>
      <c r="Q172" s="358" t="s">
        <v>626</v>
      </c>
    </row>
    <row r="173" spans="14:17" x14ac:dyDescent="0.25">
      <c r="N173" t="s">
        <v>703</v>
      </c>
      <c r="O173" t="s">
        <v>266</v>
      </c>
      <c r="P173" s="358" t="s">
        <v>210</v>
      </c>
      <c r="Q173" s="358" t="s">
        <v>628</v>
      </c>
    </row>
    <row r="174" spans="14:17" x14ac:dyDescent="0.25">
      <c r="N174" t="s">
        <v>704</v>
      </c>
      <c r="O174" t="s">
        <v>467</v>
      </c>
      <c r="P174" s="358" t="s">
        <v>210</v>
      </c>
      <c r="Q174" s="358" t="s">
        <v>633</v>
      </c>
    </row>
    <row r="175" spans="14:17" x14ac:dyDescent="0.25">
      <c r="N175" t="s">
        <v>705</v>
      </c>
      <c r="O175" t="s">
        <v>380</v>
      </c>
      <c r="P175" s="358" t="s">
        <v>211</v>
      </c>
      <c r="Q175" s="358" t="s">
        <v>626</v>
      </c>
    </row>
    <row r="176" spans="14:17" x14ac:dyDescent="0.25">
      <c r="N176" t="s">
        <v>706</v>
      </c>
      <c r="O176" t="s">
        <v>267</v>
      </c>
      <c r="P176" s="358" t="s">
        <v>211</v>
      </c>
      <c r="Q176" s="358" t="s">
        <v>628</v>
      </c>
    </row>
    <row r="177" spans="14:17" x14ac:dyDescent="0.25">
      <c r="N177" t="s">
        <v>707</v>
      </c>
      <c r="O177" t="s">
        <v>268</v>
      </c>
      <c r="P177" s="358" t="s">
        <v>211</v>
      </c>
      <c r="Q177" s="358" t="s">
        <v>633</v>
      </c>
    </row>
    <row r="178" spans="14:17" x14ac:dyDescent="0.25">
      <c r="N178" t="s">
        <v>708</v>
      </c>
      <c r="O178" t="s">
        <v>468</v>
      </c>
      <c r="P178" s="358" t="s">
        <v>788</v>
      </c>
      <c r="Q178" s="358" t="s">
        <v>1086</v>
      </c>
    </row>
    <row r="179" spans="14:17" x14ac:dyDescent="0.25">
      <c r="N179" t="s">
        <v>709</v>
      </c>
      <c r="O179" t="s">
        <v>269</v>
      </c>
      <c r="P179" s="358" t="s">
        <v>423</v>
      </c>
      <c r="Q179" s="358" t="s">
        <v>1086</v>
      </c>
    </row>
    <row r="180" spans="14:17" x14ac:dyDescent="0.25">
      <c r="N180" t="s">
        <v>710</v>
      </c>
      <c r="O180" t="s">
        <v>270</v>
      </c>
      <c r="P180" s="358" t="s">
        <v>789</v>
      </c>
      <c r="Q180" s="358" t="s">
        <v>1086</v>
      </c>
    </row>
    <row r="181" spans="14:17" x14ac:dyDescent="0.25">
      <c r="N181" t="s">
        <v>711</v>
      </c>
      <c r="O181" t="s">
        <v>381</v>
      </c>
      <c r="P181" s="358" t="s">
        <v>422</v>
      </c>
      <c r="Q181" s="358" t="s">
        <v>1086</v>
      </c>
    </row>
    <row r="182" spans="14:17" x14ac:dyDescent="0.25">
      <c r="N182" t="s">
        <v>712</v>
      </c>
      <c r="O182" t="s">
        <v>185</v>
      </c>
      <c r="P182" s="358" t="s">
        <v>345</v>
      </c>
      <c r="Q182" s="358" t="s">
        <v>649</v>
      </c>
    </row>
    <row r="183" spans="14:17" x14ac:dyDescent="0.25">
      <c r="N183" t="s">
        <v>713</v>
      </c>
      <c r="O183" t="s">
        <v>271</v>
      </c>
      <c r="P183" s="358" t="s">
        <v>346</v>
      </c>
      <c r="Q183" s="358" t="s">
        <v>586</v>
      </c>
    </row>
    <row r="184" spans="14:17" x14ac:dyDescent="0.25">
      <c r="N184" t="s">
        <v>714</v>
      </c>
      <c r="O184" t="s">
        <v>272</v>
      </c>
      <c r="P184" s="358" t="s">
        <v>346</v>
      </c>
      <c r="Q184" s="358" t="s">
        <v>602</v>
      </c>
    </row>
    <row r="185" spans="14:17" x14ac:dyDescent="0.25">
      <c r="N185" t="s">
        <v>715</v>
      </c>
      <c r="O185" t="s">
        <v>273</v>
      </c>
      <c r="P185" s="358" t="s">
        <v>346</v>
      </c>
      <c r="Q185" s="358" t="s">
        <v>878</v>
      </c>
    </row>
    <row r="186" spans="14:17" x14ac:dyDescent="0.25">
      <c r="N186" t="s">
        <v>716</v>
      </c>
      <c r="O186" t="s">
        <v>274</v>
      </c>
      <c r="P186" s="358" t="s">
        <v>346</v>
      </c>
      <c r="Q186" s="358" t="s">
        <v>660</v>
      </c>
    </row>
    <row r="187" spans="14:17" x14ac:dyDescent="0.25">
      <c r="N187" t="s">
        <v>717</v>
      </c>
      <c r="O187" t="s">
        <v>382</v>
      </c>
      <c r="P187" s="358" t="s">
        <v>346</v>
      </c>
      <c r="Q187" s="358" t="s">
        <v>728</v>
      </c>
    </row>
    <row r="188" spans="14:17" x14ac:dyDescent="0.25">
      <c r="N188" t="s">
        <v>718</v>
      </c>
      <c r="O188" t="s">
        <v>383</v>
      </c>
      <c r="P188" s="358" t="s">
        <v>347</v>
      </c>
      <c r="Q188" s="358" t="s">
        <v>586</v>
      </c>
    </row>
    <row r="189" spans="14:17" x14ac:dyDescent="0.25">
      <c r="N189" t="s">
        <v>186</v>
      </c>
      <c r="O189" t="s">
        <v>384</v>
      </c>
      <c r="P189" s="358" t="s">
        <v>347</v>
      </c>
      <c r="Q189" s="358" t="s">
        <v>602</v>
      </c>
    </row>
    <row r="190" spans="14:17" x14ac:dyDescent="0.25">
      <c r="N190" t="s">
        <v>719</v>
      </c>
      <c r="O190" t="s">
        <v>275</v>
      </c>
      <c r="P190" s="358" t="s">
        <v>347</v>
      </c>
      <c r="Q190" s="358" t="s">
        <v>878</v>
      </c>
    </row>
    <row r="191" spans="14:17" x14ac:dyDescent="0.25">
      <c r="N191" t="s">
        <v>720</v>
      </c>
      <c r="O191" t="s">
        <v>276</v>
      </c>
      <c r="P191" s="358" t="s">
        <v>347</v>
      </c>
      <c r="Q191" s="358" t="s">
        <v>660</v>
      </c>
    </row>
    <row r="192" spans="14:17" x14ac:dyDescent="0.25">
      <c r="N192" t="s">
        <v>721</v>
      </c>
      <c r="O192" t="s">
        <v>277</v>
      </c>
      <c r="P192" s="358" t="s">
        <v>347</v>
      </c>
      <c r="Q192" s="358" t="s">
        <v>728</v>
      </c>
    </row>
    <row r="193" spans="14:17" x14ac:dyDescent="0.25">
      <c r="N193" t="s">
        <v>187</v>
      </c>
      <c r="O193" t="s">
        <v>278</v>
      </c>
      <c r="P193" s="358" t="s">
        <v>212</v>
      </c>
      <c r="Q193" s="358" t="s">
        <v>575</v>
      </c>
    </row>
    <row r="194" spans="14:17" x14ac:dyDescent="0.25">
      <c r="N194" t="s">
        <v>722</v>
      </c>
      <c r="O194" t="s">
        <v>279</v>
      </c>
      <c r="P194" s="358" t="s">
        <v>213</v>
      </c>
      <c r="Q194" s="358" t="s">
        <v>199</v>
      </c>
    </row>
    <row r="195" spans="14:17" x14ac:dyDescent="0.25">
      <c r="N195" t="s">
        <v>723</v>
      </c>
      <c r="O195" t="s">
        <v>280</v>
      </c>
      <c r="P195" s="358" t="s">
        <v>213</v>
      </c>
      <c r="Q195" s="358" t="s">
        <v>781</v>
      </c>
    </row>
    <row r="196" spans="14:17" x14ac:dyDescent="0.25">
      <c r="N196" t="s">
        <v>724</v>
      </c>
      <c r="O196" t="s">
        <v>281</v>
      </c>
      <c r="P196" s="358" t="s">
        <v>214</v>
      </c>
      <c r="Q196" s="358" t="s">
        <v>199</v>
      </c>
    </row>
    <row r="197" spans="14:17" x14ac:dyDescent="0.25">
      <c r="N197" t="s">
        <v>725</v>
      </c>
      <c r="O197" t="s">
        <v>282</v>
      </c>
      <c r="P197" s="358" t="s">
        <v>214</v>
      </c>
      <c r="Q197" s="358" t="s">
        <v>781</v>
      </c>
    </row>
    <row r="198" spans="14:17" x14ac:dyDescent="0.25">
      <c r="N198" t="s">
        <v>726</v>
      </c>
      <c r="O198" t="s">
        <v>283</v>
      </c>
      <c r="P198" s="358" t="s">
        <v>348</v>
      </c>
      <c r="Q198" s="358" t="s">
        <v>184</v>
      </c>
    </row>
    <row r="199" spans="14:17" x14ac:dyDescent="0.25">
      <c r="N199" t="s">
        <v>727</v>
      </c>
      <c r="O199" t="s">
        <v>284</v>
      </c>
      <c r="P199" s="358" t="s">
        <v>424</v>
      </c>
      <c r="Q199" s="358" t="s">
        <v>1092</v>
      </c>
    </row>
    <row r="200" spans="14:17" x14ac:dyDescent="0.25">
      <c r="N200" t="s">
        <v>728</v>
      </c>
      <c r="O200" t="s">
        <v>285</v>
      </c>
      <c r="P200" s="358" t="s">
        <v>219</v>
      </c>
      <c r="Q200" s="368" t="s">
        <v>757</v>
      </c>
    </row>
    <row r="201" spans="14:17" x14ac:dyDescent="0.25">
      <c r="N201" t="s">
        <v>188</v>
      </c>
      <c r="O201" t="s">
        <v>801</v>
      </c>
      <c r="P201" s="358" t="s">
        <v>220</v>
      </c>
      <c r="Q201" s="358" t="s">
        <v>743</v>
      </c>
    </row>
    <row r="202" spans="14:17" x14ac:dyDescent="0.25">
      <c r="N202" t="s">
        <v>729</v>
      </c>
      <c r="O202" t="s">
        <v>802</v>
      </c>
      <c r="P202" s="358" t="s">
        <v>220</v>
      </c>
      <c r="Q202" s="358" t="s">
        <v>744</v>
      </c>
    </row>
    <row r="203" spans="14:17" x14ac:dyDescent="0.25">
      <c r="N203" t="s">
        <v>730</v>
      </c>
      <c r="O203" t="s">
        <v>286</v>
      </c>
      <c r="P203" s="358" t="s">
        <v>220</v>
      </c>
      <c r="Q203" s="358" t="s">
        <v>746</v>
      </c>
    </row>
    <row r="204" spans="14:17" x14ac:dyDescent="0.25">
      <c r="N204" t="s">
        <v>189</v>
      </c>
      <c r="O204" t="s">
        <v>287</v>
      </c>
      <c r="P204" s="358" t="s">
        <v>220</v>
      </c>
      <c r="Q204" s="358" t="s">
        <v>748</v>
      </c>
    </row>
    <row r="205" spans="14:17" x14ac:dyDescent="0.25">
      <c r="N205" t="s">
        <v>731</v>
      </c>
      <c r="O205" t="s">
        <v>485</v>
      </c>
      <c r="P205" s="358" t="s">
        <v>220</v>
      </c>
      <c r="Q205" s="358" t="s">
        <v>749</v>
      </c>
    </row>
    <row r="206" spans="14:17" x14ac:dyDescent="0.25">
      <c r="N206" t="s">
        <v>732</v>
      </c>
      <c r="O206" t="s">
        <v>486</v>
      </c>
      <c r="P206" s="358" t="s">
        <v>220</v>
      </c>
      <c r="Q206" s="358" t="s">
        <v>751</v>
      </c>
    </row>
    <row r="207" spans="14:17" x14ac:dyDescent="0.25">
      <c r="N207" t="s">
        <v>733</v>
      </c>
      <c r="O207" t="s">
        <v>288</v>
      </c>
      <c r="P207" s="358" t="s">
        <v>220</v>
      </c>
      <c r="Q207" s="358" t="s">
        <v>756</v>
      </c>
    </row>
    <row r="208" spans="14:17" x14ac:dyDescent="0.25">
      <c r="N208" t="s">
        <v>734</v>
      </c>
      <c r="O208" t="s">
        <v>289</v>
      </c>
      <c r="P208" s="358" t="s">
        <v>220</v>
      </c>
      <c r="Q208" s="367" t="s">
        <v>757</v>
      </c>
    </row>
    <row r="209" spans="14:17" x14ac:dyDescent="0.25">
      <c r="N209" t="s">
        <v>735</v>
      </c>
      <c r="O209" t="s">
        <v>385</v>
      </c>
      <c r="P209" s="358" t="s">
        <v>220</v>
      </c>
      <c r="Q209" s="358" t="s">
        <v>758</v>
      </c>
    </row>
    <row r="210" spans="14:17" x14ac:dyDescent="0.25">
      <c r="N210" t="s">
        <v>736</v>
      </c>
      <c r="O210" t="s">
        <v>290</v>
      </c>
      <c r="P210" s="358" t="s">
        <v>220</v>
      </c>
      <c r="Q210" s="358" t="s">
        <v>759</v>
      </c>
    </row>
    <row r="211" spans="14:17" x14ac:dyDescent="0.25">
      <c r="N211" t="s">
        <v>737</v>
      </c>
      <c r="O211" t="s">
        <v>291</v>
      </c>
      <c r="P211" s="358" t="s">
        <v>220</v>
      </c>
      <c r="Q211" s="358" t="s">
        <v>761</v>
      </c>
    </row>
    <row r="212" spans="14:17" x14ac:dyDescent="0.25">
      <c r="N212" t="s">
        <v>190</v>
      </c>
      <c r="O212" t="s">
        <v>292</v>
      </c>
      <c r="P212" s="358" t="s">
        <v>220</v>
      </c>
      <c r="Q212" s="358" t="s">
        <v>762</v>
      </c>
    </row>
    <row r="213" spans="14:17" x14ac:dyDescent="0.25">
      <c r="N213" t="s">
        <v>191</v>
      </c>
      <c r="O213" t="s">
        <v>568</v>
      </c>
      <c r="P213" s="358" t="s">
        <v>220</v>
      </c>
      <c r="Q213" s="358" t="s">
        <v>764</v>
      </c>
    </row>
    <row r="214" spans="14:17" x14ac:dyDescent="0.25">
      <c r="N214" t="s">
        <v>192</v>
      </c>
      <c r="O214" t="s">
        <v>569</v>
      </c>
      <c r="P214" s="358" t="s">
        <v>221</v>
      </c>
      <c r="Q214" s="358" t="s">
        <v>745</v>
      </c>
    </row>
    <row r="215" spans="14:17" x14ac:dyDescent="0.25">
      <c r="N215" t="s">
        <v>738</v>
      </c>
      <c r="O215" t="s">
        <v>1157</v>
      </c>
      <c r="P215" s="358" t="s">
        <v>221</v>
      </c>
      <c r="Q215" s="367" t="s">
        <v>757</v>
      </c>
    </row>
    <row r="216" spans="14:17" x14ac:dyDescent="0.25">
      <c r="N216" t="s">
        <v>193</v>
      </c>
      <c r="O216" t="s">
        <v>1158</v>
      </c>
      <c r="P216" s="358" t="s">
        <v>217</v>
      </c>
      <c r="Q216" s="358" t="s">
        <v>161</v>
      </c>
    </row>
    <row r="217" spans="14:17" x14ac:dyDescent="0.25">
      <c r="N217" t="s">
        <v>194</v>
      </c>
      <c r="O217" t="s">
        <v>386</v>
      </c>
      <c r="P217" s="358" t="s">
        <v>217</v>
      </c>
      <c r="Q217" s="358" t="s">
        <v>600</v>
      </c>
    </row>
    <row r="218" spans="14:17" x14ac:dyDescent="0.25">
      <c r="N218" t="s">
        <v>739</v>
      </c>
      <c r="O218" t="s">
        <v>387</v>
      </c>
      <c r="P218" s="358" t="s">
        <v>218</v>
      </c>
      <c r="Q218" s="358" t="s">
        <v>161</v>
      </c>
    </row>
    <row r="219" spans="14:17" x14ac:dyDescent="0.25">
      <c r="N219" t="s">
        <v>740</v>
      </c>
      <c r="O219" t="s">
        <v>1031</v>
      </c>
      <c r="P219" s="358" t="s">
        <v>218</v>
      </c>
      <c r="Q219" s="358" t="s">
        <v>600</v>
      </c>
    </row>
    <row r="220" spans="14:17" x14ac:dyDescent="0.25">
      <c r="N220" t="s">
        <v>195</v>
      </c>
      <c r="O220" t="s">
        <v>1032</v>
      </c>
      <c r="P220" s="358" t="s">
        <v>215</v>
      </c>
      <c r="Q220" s="358" t="s">
        <v>879</v>
      </c>
    </row>
    <row r="221" spans="14:17" x14ac:dyDescent="0.25">
      <c r="N221" t="s">
        <v>741</v>
      </c>
      <c r="O221" t="s">
        <v>388</v>
      </c>
      <c r="P221" s="358" t="s">
        <v>215</v>
      </c>
      <c r="Q221" s="358" t="s">
        <v>880</v>
      </c>
    </row>
    <row r="222" spans="14:17" x14ac:dyDescent="0.25">
      <c r="N222" t="s">
        <v>742</v>
      </c>
      <c r="O222" t="s">
        <v>389</v>
      </c>
      <c r="P222" s="358" t="s">
        <v>215</v>
      </c>
      <c r="Q222" s="358" t="s">
        <v>881</v>
      </c>
    </row>
    <row r="223" spans="14:17" x14ac:dyDescent="0.25">
      <c r="N223" t="s">
        <v>743</v>
      </c>
      <c r="O223" t="s">
        <v>487</v>
      </c>
      <c r="P223" s="358" t="s">
        <v>215</v>
      </c>
      <c r="Q223" s="358" t="s">
        <v>158</v>
      </c>
    </row>
    <row r="224" spans="14:17" x14ac:dyDescent="0.25">
      <c r="N224" t="s">
        <v>744</v>
      </c>
      <c r="O224" t="s">
        <v>293</v>
      </c>
      <c r="P224" s="358" t="s">
        <v>215</v>
      </c>
      <c r="Q224" s="358" t="s">
        <v>596</v>
      </c>
    </row>
    <row r="225" spans="14:17" x14ac:dyDescent="0.25">
      <c r="N225" t="s">
        <v>745</v>
      </c>
      <c r="O225" t="s">
        <v>294</v>
      </c>
      <c r="P225" s="358" t="s">
        <v>215</v>
      </c>
      <c r="Q225" s="358" t="s">
        <v>159</v>
      </c>
    </row>
    <row r="226" spans="14:17" x14ac:dyDescent="0.25">
      <c r="N226" t="s">
        <v>746</v>
      </c>
      <c r="O226" t="s">
        <v>488</v>
      </c>
      <c r="P226" s="358" t="s">
        <v>215</v>
      </c>
      <c r="Q226" s="358" t="s">
        <v>882</v>
      </c>
    </row>
    <row r="227" spans="14:17" x14ac:dyDescent="0.25">
      <c r="N227" t="s">
        <v>747</v>
      </c>
      <c r="O227" t="s">
        <v>489</v>
      </c>
      <c r="P227" s="358" t="s">
        <v>215</v>
      </c>
      <c r="Q227" s="358" t="s">
        <v>883</v>
      </c>
    </row>
    <row r="228" spans="14:17" x14ac:dyDescent="0.25">
      <c r="N228" t="s">
        <v>748</v>
      </c>
      <c r="O228" t="s">
        <v>295</v>
      </c>
      <c r="P228" s="358" t="s">
        <v>215</v>
      </c>
      <c r="Q228" s="358" t="s">
        <v>884</v>
      </c>
    </row>
    <row r="229" spans="14:17" x14ac:dyDescent="0.25">
      <c r="N229" t="s">
        <v>749</v>
      </c>
      <c r="O229" t="s">
        <v>390</v>
      </c>
      <c r="P229" s="358" t="s">
        <v>215</v>
      </c>
      <c r="Q229" s="358" t="s">
        <v>885</v>
      </c>
    </row>
    <row r="230" spans="14:17" x14ac:dyDescent="0.25">
      <c r="N230" t="s">
        <v>750</v>
      </c>
      <c r="O230" t="s">
        <v>296</v>
      </c>
      <c r="P230" s="358" t="s">
        <v>215</v>
      </c>
      <c r="Q230" s="358" t="s">
        <v>160</v>
      </c>
    </row>
    <row r="231" spans="14:17" x14ac:dyDescent="0.25">
      <c r="N231" t="s">
        <v>751</v>
      </c>
      <c r="O231" t="s">
        <v>490</v>
      </c>
      <c r="P231" s="358" t="s">
        <v>215</v>
      </c>
      <c r="Q231" s="358" t="s">
        <v>886</v>
      </c>
    </row>
    <row r="232" spans="14:17" x14ac:dyDescent="0.25">
      <c r="N232" t="s">
        <v>752</v>
      </c>
      <c r="O232" t="s">
        <v>391</v>
      </c>
      <c r="P232" s="358" t="s">
        <v>215</v>
      </c>
      <c r="Q232" s="358" t="s">
        <v>887</v>
      </c>
    </row>
    <row r="233" spans="14:17" x14ac:dyDescent="0.25">
      <c r="N233" t="s">
        <v>753</v>
      </c>
      <c r="O233" t="s">
        <v>392</v>
      </c>
      <c r="P233" s="358" t="s">
        <v>215</v>
      </c>
      <c r="Q233" s="358" t="s">
        <v>888</v>
      </c>
    </row>
    <row r="234" spans="14:17" x14ac:dyDescent="0.25">
      <c r="N234" t="s">
        <v>754</v>
      </c>
      <c r="O234" t="s">
        <v>570</v>
      </c>
      <c r="P234" s="358" t="s">
        <v>215</v>
      </c>
      <c r="Q234" s="358" t="s">
        <v>889</v>
      </c>
    </row>
    <row r="235" spans="14:17" x14ac:dyDescent="0.25">
      <c r="N235" t="s">
        <v>755</v>
      </c>
      <c r="O235" t="s">
        <v>803</v>
      </c>
      <c r="P235" s="358" t="s">
        <v>215</v>
      </c>
      <c r="Q235" s="358" t="s">
        <v>890</v>
      </c>
    </row>
    <row r="236" spans="14:17" x14ac:dyDescent="0.25">
      <c r="N236" t="s">
        <v>756</v>
      </c>
      <c r="O236" t="s">
        <v>297</v>
      </c>
      <c r="P236" s="358" t="s">
        <v>215</v>
      </c>
      <c r="Q236" s="358" t="s">
        <v>161</v>
      </c>
    </row>
    <row r="237" spans="14:17" x14ac:dyDescent="0.25">
      <c r="N237" t="s">
        <v>757</v>
      </c>
      <c r="O237" t="s">
        <v>804</v>
      </c>
      <c r="P237" s="358" t="s">
        <v>215</v>
      </c>
      <c r="Q237" s="358" t="s">
        <v>891</v>
      </c>
    </row>
    <row r="238" spans="14:17" x14ac:dyDescent="0.25">
      <c r="N238" t="s">
        <v>758</v>
      </c>
      <c r="O238" t="s">
        <v>393</v>
      </c>
      <c r="P238" s="358" t="s">
        <v>215</v>
      </c>
      <c r="Q238" s="358" t="s">
        <v>892</v>
      </c>
    </row>
    <row r="239" spans="14:17" x14ac:dyDescent="0.25">
      <c r="N239" t="s">
        <v>759</v>
      </c>
      <c r="O239" t="s">
        <v>394</v>
      </c>
      <c r="P239" s="358" t="s">
        <v>215</v>
      </c>
      <c r="Q239" s="358" t="s">
        <v>893</v>
      </c>
    </row>
    <row r="240" spans="14:17" x14ac:dyDescent="0.25">
      <c r="N240" t="s">
        <v>760</v>
      </c>
      <c r="O240" t="s">
        <v>298</v>
      </c>
      <c r="P240" s="358" t="s">
        <v>215</v>
      </c>
      <c r="Q240" s="358" t="s">
        <v>894</v>
      </c>
    </row>
    <row r="241" spans="14:17" x14ac:dyDescent="0.25">
      <c r="N241" t="s">
        <v>761</v>
      </c>
      <c r="O241" t="s">
        <v>299</v>
      </c>
      <c r="P241" s="358" t="s">
        <v>215</v>
      </c>
      <c r="Q241" s="358" t="s">
        <v>600</v>
      </c>
    </row>
    <row r="242" spans="14:17" x14ac:dyDescent="0.25">
      <c r="N242" t="s">
        <v>762</v>
      </c>
      <c r="O242" t="s">
        <v>805</v>
      </c>
      <c r="P242" s="358" t="s">
        <v>215</v>
      </c>
      <c r="Q242" s="358" t="s">
        <v>895</v>
      </c>
    </row>
    <row r="243" spans="14:17" x14ac:dyDescent="0.25">
      <c r="N243" t="s">
        <v>763</v>
      </c>
      <c r="O243" t="s">
        <v>300</v>
      </c>
      <c r="P243" s="358" t="s">
        <v>215</v>
      </c>
      <c r="Q243" s="358" t="s">
        <v>163</v>
      </c>
    </row>
    <row r="244" spans="14:17" x14ac:dyDescent="0.25">
      <c r="N244" t="s">
        <v>764</v>
      </c>
      <c r="O244" t="s">
        <v>301</v>
      </c>
      <c r="P244" s="358" t="s">
        <v>215</v>
      </c>
      <c r="Q244" s="358" t="s">
        <v>896</v>
      </c>
    </row>
    <row r="245" spans="14:17" x14ac:dyDescent="0.25">
      <c r="N245" t="s">
        <v>765</v>
      </c>
      <c r="O245" t="s">
        <v>302</v>
      </c>
      <c r="P245" s="358" t="s">
        <v>215</v>
      </c>
      <c r="Q245" s="358" t="s">
        <v>897</v>
      </c>
    </row>
    <row r="246" spans="14:17" x14ac:dyDescent="0.25">
      <c r="N246" t="s">
        <v>766</v>
      </c>
      <c r="O246" t="s">
        <v>303</v>
      </c>
      <c r="P246" s="358" t="s">
        <v>215</v>
      </c>
      <c r="Q246" s="358" t="s">
        <v>1162</v>
      </c>
    </row>
    <row r="247" spans="14:17" x14ac:dyDescent="0.25">
      <c r="N247" t="s">
        <v>767</v>
      </c>
      <c r="O247" t="s">
        <v>186</v>
      </c>
      <c r="P247" s="358" t="s">
        <v>215</v>
      </c>
      <c r="Q247" s="358" t="s">
        <v>164</v>
      </c>
    </row>
    <row r="248" spans="14:17" x14ac:dyDescent="0.25">
      <c r="N248" t="s">
        <v>768</v>
      </c>
      <c r="O248" t="s">
        <v>304</v>
      </c>
      <c r="P248" s="358" t="s">
        <v>215</v>
      </c>
      <c r="Q248" s="358" t="s">
        <v>898</v>
      </c>
    </row>
    <row r="249" spans="14:17" x14ac:dyDescent="0.25">
      <c r="N249" t="s">
        <v>769</v>
      </c>
      <c r="O249" t="s">
        <v>187</v>
      </c>
      <c r="P249" s="358" t="s">
        <v>215</v>
      </c>
      <c r="Q249" s="358" t="s">
        <v>899</v>
      </c>
    </row>
    <row r="250" spans="14:17" x14ac:dyDescent="0.25">
      <c r="N250" t="s">
        <v>770</v>
      </c>
      <c r="O250" t="s">
        <v>305</v>
      </c>
      <c r="P250" s="358" t="s">
        <v>215</v>
      </c>
      <c r="Q250" s="358" t="s">
        <v>900</v>
      </c>
    </row>
    <row r="251" spans="14:17" x14ac:dyDescent="0.25">
      <c r="N251" t="s">
        <v>771</v>
      </c>
      <c r="O251" t="s">
        <v>505</v>
      </c>
      <c r="P251" s="358" t="s">
        <v>215</v>
      </c>
      <c r="Q251" s="358" t="s">
        <v>901</v>
      </c>
    </row>
    <row r="252" spans="14:17" x14ac:dyDescent="0.25">
      <c r="N252" t="s">
        <v>772</v>
      </c>
      <c r="O252" t="s">
        <v>503</v>
      </c>
      <c r="P252" s="358" t="s">
        <v>215</v>
      </c>
      <c r="Q252" s="358" t="s">
        <v>902</v>
      </c>
    </row>
    <row r="253" spans="14:17" x14ac:dyDescent="0.25">
      <c r="N253" t="s">
        <v>773</v>
      </c>
      <c r="O253" t="s">
        <v>306</v>
      </c>
      <c r="P253" s="358" t="s">
        <v>215</v>
      </c>
      <c r="Q253" s="358" t="s">
        <v>903</v>
      </c>
    </row>
    <row r="254" spans="14:17" x14ac:dyDescent="0.25">
      <c r="N254" t="s">
        <v>774</v>
      </c>
      <c r="O254" t="s">
        <v>307</v>
      </c>
      <c r="P254" s="358" t="s">
        <v>215</v>
      </c>
      <c r="Q254" s="358" t="s">
        <v>904</v>
      </c>
    </row>
    <row r="255" spans="14:17" x14ac:dyDescent="0.25">
      <c r="N255" t="s">
        <v>775</v>
      </c>
      <c r="O255" t="s">
        <v>571</v>
      </c>
      <c r="P255" s="358" t="s">
        <v>215</v>
      </c>
      <c r="Q255" s="358" t="s">
        <v>905</v>
      </c>
    </row>
    <row r="256" spans="14:17" x14ac:dyDescent="0.25">
      <c r="N256" t="s">
        <v>776</v>
      </c>
      <c r="O256" t="s">
        <v>308</v>
      </c>
      <c r="P256" s="358" t="s">
        <v>215</v>
      </c>
      <c r="Q256" s="358" t="s">
        <v>906</v>
      </c>
    </row>
    <row r="257" spans="14:17" x14ac:dyDescent="0.25">
      <c r="N257" t="s">
        <v>196</v>
      </c>
      <c r="O257" t="s">
        <v>506</v>
      </c>
      <c r="P257" s="358" t="s">
        <v>215</v>
      </c>
      <c r="Q257" s="358" t="s">
        <v>907</v>
      </c>
    </row>
    <row r="258" spans="14:17" x14ac:dyDescent="0.25">
      <c r="N258" t="s">
        <v>777</v>
      </c>
      <c r="O258" t="s">
        <v>309</v>
      </c>
      <c r="P258" s="358" t="s">
        <v>215</v>
      </c>
      <c r="Q258" s="358" t="s">
        <v>908</v>
      </c>
    </row>
    <row r="259" spans="14:17" x14ac:dyDescent="0.25">
      <c r="N259" t="s">
        <v>197</v>
      </c>
      <c r="O259" t="s">
        <v>310</v>
      </c>
      <c r="P259" s="358" t="s">
        <v>216</v>
      </c>
      <c r="Q259" s="358" t="s">
        <v>879</v>
      </c>
    </row>
    <row r="260" spans="14:17" x14ac:dyDescent="0.25">
      <c r="N260" t="s">
        <v>198</v>
      </c>
      <c r="O260" t="s">
        <v>464</v>
      </c>
      <c r="P260" s="358" t="s">
        <v>216</v>
      </c>
      <c r="Q260" s="358" t="s">
        <v>880</v>
      </c>
    </row>
    <row r="261" spans="14:17" x14ac:dyDescent="0.25">
      <c r="N261" t="s">
        <v>778</v>
      </c>
      <c r="O261" t="s">
        <v>465</v>
      </c>
      <c r="P261" s="358" t="s">
        <v>216</v>
      </c>
      <c r="Q261" s="358" t="s">
        <v>881</v>
      </c>
    </row>
    <row r="262" spans="14:17" x14ac:dyDescent="0.25">
      <c r="N262" t="s">
        <v>779</v>
      </c>
      <c r="O262" t="s">
        <v>311</v>
      </c>
      <c r="P262" s="358" t="s">
        <v>216</v>
      </c>
      <c r="Q262" s="358" t="s">
        <v>158</v>
      </c>
    </row>
    <row r="263" spans="14:17" x14ac:dyDescent="0.25">
      <c r="N263" t="s">
        <v>780</v>
      </c>
      <c r="O263" t="s">
        <v>507</v>
      </c>
      <c r="P263" s="358" t="s">
        <v>216</v>
      </c>
      <c r="Q263" s="358" t="s">
        <v>596</v>
      </c>
    </row>
    <row r="264" spans="14:17" x14ac:dyDescent="0.25">
      <c r="N264" t="s">
        <v>199</v>
      </c>
      <c r="O264" t="s">
        <v>508</v>
      </c>
      <c r="P264" s="358" t="s">
        <v>216</v>
      </c>
      <c r="Q264" s="358" t="s">
        <v>159</v>
      </c>
    </row>
    <row r="265" spans="14:17" x14ac:dyDescent="0.25">
      <c r="N265" t="s">
        <v>781</v>
      </c>
      <c r="O265" t="s">
        <v>312</v>
      </c>
      <c r="P265" s="358" t="s">
        <v>216</v>
      </c>
      <c r="Q265" s="358" t="s">
        <v>882</v>
      </c>
    </row>
    <row r="266" spans="14:17" x14ac:dyDescent="0.25">
      <c r="N266" t="s">
        <v>782</v>
      </c>
      <c r="O266" t="s">
        <v>313</v>
      </c>
      <c r="P266" s="358" t="s">
        <v>216</v>
      </c>
      <c r="Q266" s="358" t="s">
        <v>883</v>
      </c>
    </row>
    <row r="267" spans="14:17" x14ac:dyDescent="0.25">
      <c r="N267" t="s">
        <v>783</v>
      </c>
      <c r="O267" t="s">
        <v>572</v>
      </c>
      <c r="P267" s="358" t="s">
        <v>216</v>
      </c>
      <c r="Q267" s="358" t="s">
        <v>884</v>
      </c>
    </row>
    <row r="268" spans="14:17" x14ac:dyDescent="0.25">
      <c r="N268" t="s">
        <v>200</v>
      </c>
      <c r="O268" t="s">
        <v>314</v>
      </c>
      <c r="P268" s="358" t="s">
        <v>216</v>
      </c>
      <c r="Q268" s="358" t="s">
        <v>885</v>
      </c>
    </row>
    <row r="269" spans="14:17" x14ac:dyDescent="0.25">
      <c r="N269" t="s">
        <v>784</v>
      </c>
      <c r="O269" t="s">
        <v>510</v>
      </c>
      <c r="P269" s="358" t="s">
        <v>216</v>
      </c>
      <c r="Q269" s="358" t="s">
        <v>160</v>
      </c>
    </row>
    <row r="270" spans="14:17" x14ac:dyDescent="0.25">
      <c r="N270" t="s">
        <v>785</v>
      </c>
      <c r="O270" t="s">
        <v>315</v>
      </c>
      <c r="P270" s="358" t="s">
        <v>216</v>
      </c>
      <c r="Q270" s="358" t="s">
        <v>886</v>
      </c>
    </row>
    <row r="271" spans="14:17" x14ac:dyDescent="0.25">
      <c r="N271" t="s">
        <v>786</v>
      </c>
      <c r="O271" t="s">
        <v>316</v>
      </c>
      <c r="P271" s="358" t="s">
        <v>216</v>
      </c>
      <c r="Q271" s="358" t="s">
        <v>887</v>
      </c>
    </row>
    <row r="272" spans="14:17" x14ac:dyDescent="0.25">
      <c r="O272" t="s">
        <v>395</v>
      </c>
      <c r="P272" s="358" t="s">
        <v>216</v>
      </c>
      <c r="Q272" s="358" t="s">
        <v>888</v>
      </c>
    </row>
    <row r="273" spans="15:17" x14ac:dyDescent="0.25">
      <c r="O273" t="s">
        <v>396</v>
      </c>
      <c r="P273" s="358" t="s">
        <v>216</v>
      </c>
      <c r="Q273" s="358" t="s">
        <v>889</v>
      </c>
    </row>
    <row r="274" spans="15:17" x14ac:dyDescent="0.25">
      <c r="O274" t="s">
        <v>317</v>
      </c>
      <c r="P274" s="358" t="s">
        <v>216</v>
      </c>
      <c r="Q274" s="358" t="s">
        <v>890</v>
      </c>
    </row>
    <row r="275" spans="15:17" x14ac:dyDescent="0.25">
      <c r="O275" t="s">
        <v>397</v>
      </c>
      <c r="P275" s="358" t="s">
        <v>216</v>
      </c>
      <c r="Q275" s="358" t="s">
        <v>161</v>
      </c>
    </row>
    <row r="276" spans="15:17" x14ac:dyDescent="0.25">
      <c r="O276" t="s">
        <v>318</v>
      </c>
      <c r="P276" s="358" t="s">
        <v>216</v>
      </c>
      <c r="Q276" s="358" t="s">
        <v>891</v>
      </c>
    </row>
    <row r="277" spans="15:17" x14ac:dyDescent="0.25">
      <c r="O277" t="s">
        <v>573</v>
      </c>
      <c r="P277" s="358" t="s">
        <v>216</v>
      </c>
      <c r="Q277" s="358" t="s">
        <v>892</v>
      </c>
    </row>
    <row r="278" spans="15:17" x14ac:dyDescent="0.25">
      <c r="O278" t="s">
        <v>319</v>
      </c>
      <c r="P278" s="358" t="s">
        <v>216</v>
      </c>
      <c r="Q278" s="358" t="s">
        <v>893</v>
      </c>
    </row>
    <row r="279" spans="15:17" x14ac:dyDescent="0.25">
      <c r="O279" t="s">
        <v>320</v>
      </c>
      <c r="P279" s="358" t="s">
        <v>216</v>
      </c>
      <c r="Q279" s="358" t="s">
        <v>894</v>
      </c>
    </row>
    <row r="280" spans="15:17" x14ac:dyDescent="0.25">
      <c r="O280" t="s">
        <v>511</v>
      </c>
      <c r="P280" s="358" t="s">
        <v>216</v>
      </c>
      <c r="Q280" s="358" t="s">
        <v>600</v>
      </c>
    </row>
    <row r="281" spans="15:17" x14ac:dyDescent="0.25">
      <c r="O281" t="s">
        <v>321</v>
      </c>
      <c r="P281" s="358" t="s">
        <v>216</v>
      </c>
      <c r="Q281" s="358" t="s">
        <v>895</v>
      </c>
    </row>
    <row r="282" spans="15:17" x14ac:dyDescent="0.25">
      <c r="O282" t="s">
        <v>322</v>
      </c>
      <c r="P282" s="358" t="s">
        <v>216</v>
      </c>
      <c r="Q282" s="358" t="s">
        <v>163</v>
      </c>
    </row>
    <row r="283" spans="15:17" x14ac:dyDescent="0.25">
      <c r="O283" t="s">
        <v>512</v>
      </c>
      <c r="P283" s="358" t="s">
        <v>216</v>
      </c>
      <c r="Q283" s="358" t="s">
        <v>896</v>
      </c>
    </row>
    <row r="284" spans="15:17" x14ac:dyDescent="0.25">
      <c r="O284" t="s">
        <v>323</v>
      </c>
      <c r="P284" s="358" t="s">
        <v>216</v>
      </c>
      <c r="Q284" s="358" t="s">
        <v>897</v>
      </c>
    </row>
    <row r="285" spans="15:17" x14ac:dyDescent="0.25">
      <c r="O285" t="s">
        <v>516</v>
      </c>
      <c r="P285" s="358" t="s">
        <v>216</v>
      </c>
      <c r="Q285" s="358" t="s">
        <v>1162</v>
      </c>
    </row>
    <row r="286" spans="15:17" x14ac:dyDescent="0.25">
      <c r="O286" t="s">
        <v>810</v>
      </c>
      <c r="P286" s="358" t="s">
        <v>216</v>
      </c>
      <c r="Q286" s="358" t="s">
        <v>164</v>
      </c>
    </row>
    <row r="287" spans="15:17" x14ac:dyDescent="0.25">
      <c r="O287" t="s">
        <v>324</v>
      </c>
      <c r="P287" s="358" t="s">
        <v>216</v>
      </c>
      <c r="Q287" s="358" t="s">
        <v>898</v>
      </c>
    </row>
    <row r="288" spans="15:17" x14ac:dyDescent="0.25">
      <c r="O288" t="s">
        <v>520</v>
      </c>
      <c r="P288" s="358" t="s">
        <v>216</v>
      </c>
      <c r="Q288" s="358" t="s">
        <v>899</v>
      </c>
    </row>
    <row r="289" spans="15:17" x14ac:dyDescent="0.25">
      <c r="O289" t="s">
        <v>325</v>
      </c>
      <c r="P289" s="358" t="s">
        <v>216</v>
      </c>
      <c r="Q289" s="358" t="s">
        <v>900</v>
      </c>
    </row>
    <row r="290" spans="15:17" x14ac:dyDescent="0.25">
      <c r="O290" t="s">
        <v>326</v>
      </c>
      <c r="P290" s="358" t="s">
        <v>216</v>
      </c>
      <c r="Q290" s="358" t="s">
        <v>901</v>
      </c>
    </row>
    <row r="291" spans="15:17" x14ac:dyDescent="0.25">
      <c r="O291" t="s">
        <v>327</v>
      </c>
      <c r="P291" s="358" t="s">
        <v>216</v>
      </c>
      <c r="Q291" s="358" t="s">
        <v>902</v>
      </c>
    </row>
    <row r="292" spans="15:17" x14ac:dyDescent="0.25">
      <c r="O292" t="s">
        <v>1159</v>
      </c>
      <c r="P292" s="358" t="s">
        <v>216</v>
      </c>
      <c r="Q292" s="358" t="s">
        <v>903</v>
      </c>
    </row>
    <row r="293" spans="15:17" x14ac:dyDescent="0.25">
      <c r="O293" t="s">
        <v>328</v>
      </c>
      <c r="P293" s="358" t="s">
        <v>216</v>
      </c>
      <c r="Q293" s="358" t="s">
        <v>904</v>
      </c>
    </row>
    <row r="294" spans="15:17" x14ac:dyDescent="0.25">
      <c r="O294" t="s">
        <v>399</v>
      </c>
      <c r="P294" s="358" t="s">
        <v>216</v>
      </c>
      <c r="Q294" s="358" t="s">
        <v>905</v>
      </c>
    </row>
    <row r="295" spans="15:17" x14ac:dyDescent="0.25">
      <c r="O295" t="s">
        <v>329</v>
      </c>
      <c r="P295" s="358" t="s">
        <v>216</v>
      </c>
      <c r="Q295" s="358" t="s">
        <v>906</v>
      </c>
    </row>
    <row r="296" spans="15:17" x14ac:dyDescent="0.25">
      <c r="O296" t="s">
        <v>330</v>
      </c>
      <c r="P296" s="358" t="s">
        <v>216</v>
      </c>
      <c r="Q296" s="358" t="s">
        <v>907</v>
      </c>
    </row>
    <row r="297" spans="15:17" x14ac:dyDescent="0.25">
      <c r="O297" t="s">
        <v>398</v>
      </c>
      <c r="P297" s="358" t="s">
        <v>216</v>
      </c>
      <c r="Q297" s="358" t="s">
        <v>908</v>
      </c>
    </row>
    <row r="298" spans="15:17" x14ac:dyDescent="0.25">
      <c r="O298" t="s">
        <v>331</v>
      </c>
      <c r="P298" s="358" t="s">
        <v>425</v>
      </c>
      <c r="Q298" s="358" t="s">
        <v>1093</v>
      </c>
    </row>
    <row r="299" spans="15:17" x14ac:dyDescent="0.25">
      <c r="O299" t="s">
        <v>400</v>
      </c>
      <c r="P299" s="358" t="s">
        <v>426</v>
      </c>
      <c r="Q299" s="358" t="s">
        <v>1093</v>
      </c>
    </row>
    <row r="300" spans="15:17" x14ac:dyDescent="0.25">
      <c r="O300" t="s">
        <v>401</v>
      </c>
      <c r="P300" s="358" t="s">
        <v>427</v>
      </c>
      <c r="Q300" s="358" t="s">
        <v>1093</v>
      </c>
    </row>
    <row r="301" spans="15:17" x14ac:dyDescent="0.25">
      <c r="O301" t="s">
        <v>521</v>
      </c>
      <c r="P301" s="358" t="s">
        <v>428</v>
      </c>
      <c r="Q301" s="358" t="s">
        <v>594</v>
      </c>
    </row>
    <row r="302" spans="15:17" x14ac:dyDescent="0.25">
      <c r="O302" t="s">
        <v>406</v>
      </c>
      <c r="P302" s="358" t="s">
        <v>223</v>
      </c>
      <c r="Q302" s="358" t="s">
        <v>686</v>
      </c>
    </row>
    <row r="303" spans="15:17" x14ac:dyDescent="0.25">
      <c r="O303" t="s">
        <v>407</v>
      </c>
      <c r="P303" s="358" t="s">
        <v>429</v>
      </c>
      <c r="Q303" s="358" t="s">
        <v>631</v>
      </c>
    </row>
    <row r="304" spans="15:17" x14ac:dyDescent="0.25">
      <c r="O304" t="s">
        <v>408</v>
      </c>
      <c r="P304" s="358" t="s">
        <v>429</v>
      </c>
      <c r="Q304" s="358" t="s">
        <v>643</v>
      </c>
    </row>
    <row r="305" spans="15:17" x14ac:dyDescent="0.25">
      <c r="O305" t="s">
        <v>409</v>
      </c>
      <c r="P305" s="358" t="s">
        <v>430</v>
      </c>
      <c r="Q305" s="358" t="s">
        <v>631</v>
      </c>
    </row>
    <row r="306" spans="15:17" x14ac:dyDescent="0.25">
      <c r="O306" t="s">
        <v>410</v>
      </c>
      <c r="P306" s="358" t="s">
        <v>430</v>
      </c>
      <c r="Q306" s="358" t="s">
        <v>643</v>
      </c>
    </row>
    <row r="307" spans="15:17" x14ac:dyDescent="0.25">
      <c r="O307" t="s">
        <v>821</v>
      </c>
      <c r="P307" s="358" t="s">
        <v>224</v>
      </c>
      <c r="Q307" s="358" t="s">
        <v>661</v>
      </c>
    </row>
    <row r="308" spans="15:17" x14ac:dyDescent="0.25">
      <c r="O308" t="s">
        <v>411</v>
      </c>
      <c r="P308" s="358" t="s">
        <v>224</v>
      </c>
      <c r="Q308" s="358" t="s">
        <v>675</v>
      </c>
    </row>
    <row r="309" spans="15:17" x14ac:dyDescent="0.25">
      <c r="O309" t="s">
        <v>412</v>
      </c>
      <c r="P309" s="358" t="s">
        <v>225</v>
      </c>
      <c r="Q309" s="358" t="s">
        <v>663</v>
      </c>
    </row>
    <row r="310" spans="15:17" x14ac:dyDescent="0.25">
      <c r="O310" t="s">
        <v>413</v>
      </c>
      <c r="P310" s="358" t="s">
        <v>225</v>
      </c>
      <c r="Q310" s="358" t="s">
        <v>667</v>
      </c>
    </row>
    <row r="311" spans="15:17" x14ac:dyDescent="0.25">
      <c r="O311" t="s">
        <v>414</v>
      </c>
      <c r="P311" s="358" t="s">
        <v>225</v>
      </c>
      <c r="Q311" s="358" t="s">
        <v>668</v>
      </c>
    </row>
    <row r="312" spans="15:17" x14ac:dyDescent="0.25">
      <c r="O312" t="s">
        <v>415</v>
      </c>
      <c r="P312" s="358" t="s">
        <v>225</v>
      </c>
      <c r="Q312" s="358" t="s">
        <v>669</v>
      </c>
    </row>
    <row r="313" spans="15:17" x14ac:dyDescent="0.25">
      <c r="O313" t="s">
        <v>416</v>
      </c>
      <c r="P313" s="358" t="s">
        <v>225</v>
      </c>
      <c r="Q313" s="358" t="s">
        <v>671</v>
      </c>
    </row>
    <row r="314" spans="15:17" x14ac:dyDescent="0.25">
      <c r="O314" t="s">
        <v>417</v>
      </c>
      <c r="P314" s="358" t="s">
        <v>225</v>
      </c>
      <c r="Q314" s="358" t="s">
        <v>672</v>
      </c>
    </row>
    <row r="315" spans="15:17" x14ac:dyDescent="0.25">
      <c r="O315" t="s">
        <v>418</v>
      </c>
      <c r="P315" s="358" t="s">
        <v>225</v>
      </c>
      <c r="Q315" s="358" t="s">
        <v>679</v>
      </c>
    </row>
    <row r="316" spans="15:17" x14ac:dyDescent="0.25">
      <c r="O316" t="s">
        <v>419</v>
      </c>
      <c r="P316" s="358" t="s">
        <v>225</v>
      </c>
      <c r="Q316" s="358" t="s">
        <v>684</v>
      </c>
    </row>
    <row r="317" spans="15:17" x14ac:dyDescent="0.25">
      <c r="O317" t="s">
        <v>420</v>
      </c>
      <c r="P317" s="358" t="s">
        <v>226</v>
      </c>
      <c r="Q317" s="359" t="s">
        <v>757</v>
      </c>
    </row>
    <row r="318" spans="15:17" x14ac:dyDescent="0.25">
      <c r="O318" t="s">
        <v>421</v>
      </c>
      <c r="P318" s="358" t="s">
        <v>227</v>
      </c>
      <c r="Q318" s="358" t="s">
        <v>909</v>
      </c>
    </row>
    <row r="319" spans="15:17" x14ac:dyDescent="0.25">
      <c r="O319" t="s">
        <v>422</v>
      </c>
      <c r="P319" s="358" t="s">
        <v>227</v>
      </c>
      <c r="Q319" s="358" t="s">
        <v>592</v>
      </c>
    </row>
    <row r="320" spans="15:17" x14ac:dyDescent="0.25">
      <c r="O320" t="s">
        <v>788</v>
      </c>
      <c r="P320" s="358" t="s">
        <v>564</v>
      </c>
      <c r="Q320" s="358" t="s">
        <v>904</v>
      </c>
    </row>
    <row r="321" spans="15:17" x14ac:dyDescent="0.25">
      <c r="O321" t="s">
        <v>423</v>
      </c>
      <c r="P321" s="358" t="s">
        <v>564</v>
      </c>
      <c r="Q321" s="358" t="s">
        <v>905</v>
      </c>
    </row>
    <row r="322" spans="15:17" x14ac:dyDescent="0.25">
      <c r="O322" t="s">
        <v>789</v>
      </c>
      <c r="P322" s="358" t="s">
        <v>564</v>
      </c>
      <c r="Q322" s="358" t="s">
        <v>906</v>
      </c>
    </row>
    <row r="323" spans="15:17" x14ac:dyDescent="0.25">
      <c r="O323" t="s">
        <v>424</v>
      </c>
      <c r="P323" s="358" t="s">
        <v>564</v>
      </c>
      <c r="Q323" s="358" t="s">
        <v>907</v>
      </c>
    </row>
    <row r="324" spans="15:17" x14ac:dyDescent="0.25">
      <c r="O324" t="s">
        <v>425</v>
      </c>
      <c r="P324" s="358" t="s">
        <v>564</v>
      </c>
      <c r="Q324" s="358" t="s">
        <v>908</v>
      </c>
    </row>
    <row r="325" spans="15:17" x14ac:dyDescent="0.25">
      <c r="O325" t="s">
        <v>426</v>
      </c>
      <c r="P325" s="358" t="s">
        <v>565</v>
      </c>
      <c r="Q325" s="358" t="s">
        <v>904</v>
      </c>
    </row>
    <row r="326" spans="15:17" x14ac:dyDescent="0.25">
      <c r="O326" t="s">
        <v>427</v>
      </c>
      <c r="P326" s="358" t="s">
        <v>565</v>
      </c>
      <c r="Q326" s="358" t="s">
        <v>905</v>
      </c>
    </row>
    <row r="327" spans="15:17" x14ac:dyDescent="0.25">
      <c r="O327" t="s">
        <v>822</v>
      </c>
      <c r="P327" s="358" t="s">
        <v>565</v>
      </c>
      <c r="Q327" s="358" t="s">
        <v>906</v>
      </c>
    </row>
    <row r="328" spans="15:17" x14ac:dyDescent="0.25">
      <c r="O328" t="s">
        <v>433</v>
      </c>
      <c r="P328" s="358" t="s">
        <v>565</v>
      </c>
      <c r="Q328" s="358" t="s">
        <v>907</v>
      </c>
    </row>
    <row r="329" spans="15:17" x14ac:dyDescent="0.25">
      <c r="O329" t="s">
        <v>791</v>
      </c>
      <c r="P329" s="358" t="s">
        <v>565</v>
      </c>
      <c r="Q329" s="358" t="s">
        <v>908</v>
      </c>
    </row>
    <row r="330" spans="15:17" x14ac:dyDescent="0.25">
      <c r="O330" t="s">
        <v>434</v>
      </c>
      <c r="P330" s="358" t="s">
        <v>431</v>
      </c>
      <c r="Q330" s="358" t="s">
        <v>1064</v>
      </c>
    </row>
    <row r="331" spans="15:17" x14ac:dyDescent="0.25">
      <c r="O331" t="s">
        <v>823</v>
      </c>
      <c r="P331" s="461" t="s">
        <v>1286</v>
      </c>
      <c r="Q331" s="367" t="s">
        <v>1083</v>
      </c>
    </row>
    <row r="332" spans="15:17" x14ac:dyDescent="0.25">
      <c r="O332" t="s">
        <v>435</v>
      </c>
      <c r="P332" s="358" t="s">
        <v>229</v>
      </c>
      <c r="Q332" s="358" t="s">
        <v>604</v>
      </c>
    </row>
    <row r="333" spans="15:17" x14ac:dyDescent="0.25">
      <c r="O333" t="s">
        <v>436</v>
      </c>
      <c r="P333" s="358" t="s">
        <v>228</v>
      </c>
      <c r="Q333" s="358" t="s">
        <v>910</v>
      </c>
    </row>
    <row r="334" spans="15:17" x14ac:dyDescent="0.25">
      <c r="O334" t="s">
        <v>437</v>
      </c>
      <c r="P334" s="358" t="s">
        <v>228</v>
      </c>
      <c r="Q334" s="358" t="s">
        <v>609</v>
      </c>
    </row>
    <row r="335" spans="15:17" x14ac:dyDescent="0.25">
      <c r="O335" t="s">
        <v>438</v>
      </c>
      <c r="P335" s="358" t="s">
        <v>432</v>
      </c>
      <c r="Q335" s="358" t="s">
        <v>1094</v>
      </c>
    </row>
    <row r="336" spans="15:17" x14ac:dyDescent="0.25">
      <c r="O336" t="s">
        <v>439</v>
      </c>
      <c r="P336" s="358" t="s">
        <v>230</v>
      </c>
      <c r="Q336" s="358" t="s">
        <v>624</v>
      </c>
    </row>
    <row r="337" spans="15:17" x14ac:dyDescent="0.25">
      <c r="O337" t="s">
        <v>441</v>
      </c>
      <c r="P337" s="358" t="s">
        <v>231</v>
      </c>
      <c r="Q337" s="358" t="s">
        <v>911</v>
      </c>
    </row>
    <row r="338" spans="15:17" x14ac:dyDescent="0.25">
      <c r="O338" t="s">
        <v>442</v>
      </c>
      <c r="P338" s="358" t="s">
        <v>353</v>
      </c>
      <c r="Q338" s="358" t="s">
        <v>648</v>
      </c>
    </row>
    <row r="339" spans="15:17" x14ac:dyDescent="0.25">
      <c r="O339" t="s">
        <v>793</v>
      </c>
      <c r="P339" s="358" t="s">
        <v>353</v>
      </c>
      <c r="Q339" s="358" t="s">
        <v>741</v>
      </c>
    </row>
    <row r="340" spans="15:17" x14ac:dyDescent="0.25">
      <c r="O340" t="s">
        <v>445</v>
      </c>
      <c r="P340" s="358" t="s">
        <v>232</v>
      </c>
      <c r="Q340" s="358" t="s">
        <v>591</v>
      </c>
    </row>
    <row r="341" spans="15:17" x14ac:dyDescent="0.25">
      <c r="O341" t="s">
        <v>449</v>
      </c>
      <c r="P341" s="358" t="s">
        <v>790</v>
      </c>
      <c r="Q341" s="358" t="s">
        <v>1084</v>
      </c>
    </row>
    <row r="342" spans="15:17" x14ac:dyDescent="0.25">
      <c r="O342" t="s">
        <v>450</v>
      </c>
      <c r="P342" s="358" t="s">
        <v>433</v>
      </c>
      <c r="Q342" s="358" t="s">
        <v>1085</v>
      </c>
    </row>
    <row r="343" spans="15:17" x14ac:dyDescent="0.25">
      <c r="O343" t="s">
        <v>451</v>
      </c>
      <c r="P343" s="358" t="s">
        <v>791</v>
      </c>
      <c r="Q343" s="358" t="s">
        <v>1086</v>
      </c>
    </row>
    <row r="344" spans="15:17" x14ac:dyDescent="0.25">
      <c r="O344" t="s">
        <v>824</v>
      </c>
      <c r="P344" s="358" t="s">
        <v>233</v>
      </c>
      <c r="Q344" s="358" t="s">
        <v>1093</v>
      </c>
    </row>
    <row r="345" spans="15:17" x14ac:dyDescent="0.25">
      <c r="O345" t="s">
        <v>452</v>
      </c>
      <c r="P345" s="358" t="s">
        <v>434</v>
      </c>
      <c r="Q345" s="358" t="s">
        <v>1087</v>
      </c>
    </row>
    <row r="346" spans="15:17" x14ac:dyDescent="0.25">
      <c r="O346" t="s">
        <v>794</v>
      </c>
      <c r="P346" s="358" t="s">
        <v>435</v>
      </c>
      <c r="Q346" s="358" t="s">
        <v>1061</v>
      </c>
    </row>
    <row r="347" spans="15:17" x14ac:dyDescent="0.25">
      <c r="O347" t="s">
        <v>453</v>
      </c>
      <c r="P347" s="358" t="s">
        <v>823</v>
      </c>
      <c r="Q347" s="358" t="s">
        <v>1061</v>
      </c>
    </row>
    <row r="348" spans="15:17" x14ac:dyDescent="0.25">
      <c r="O348" t="s">
        <v>454</v>
      </c>
      <c r="P348" s="358" t="s">
        <v>165</v>
      </c>
      <c r="Q348" s="358" t="s">
        <v>165</v>
      </c>
    </row>
    <row r="349" spans="15:17" x14ac:dyDescent="0.25">
      <c r="O349" t="s">
        <v>455</v>
      </c>
      <c r="P349" s="358" t="s">
        <v>820</v>
      </c>
      <c r="Q349" s="358" t="s">
        <v>178</v>
      </c>
    </row>
    <row r="350" spans="15:17" x14ac:dyDescent="0.25">
      <c r="O350" t="s">
        <v>456</v>
      </c>
      <c r="P350" s="358" t="s">
        <v>820</v>
      </c>
      <c r="Q350" s="358" t="s">
        <v>1096</v>
      </c>
    </row>
    <row r="351" spans="15:17" x14ac:dyDescent="0.25">
      <c r="O351" t="s">
        <v>458</v>
      </c>
      <c r="P351" s="358" t="s">
        <v>436</v>
      </c>
      <c r="Q351" s="358" t="s">
        <v>1086</v>
      </c>
    </row>
    <row r="352" spans="15:17" x14ac:dyDescent="0.25">
      <c r="O352" t="s">
        <v>459</v>
      </c>
      <c r="P352" s="358" t="s">
        <v>437</v>
      </c>
      <c r="Q352" s="358" t="s">
        <v>1089</v>
      </c>
    </row>
    <row r="353" spans="15:17" x14ac:dyDescent="0.25">
      <c r="O353" t="s">
        <v>796</v>
      </c>
      <c r="P353" s="358" t="s">
        <v>354</v>
      </c>
      <c r="Q353" s="358" t="s">
        <v>1160</v>
      </c>
    </row>
    <row r="354" spans="15:17" x14ac:dyDescent="0.25">
      <c r="O354" t="s">
        <v>460</v>
      </c>
      <c r="P354" s="358" t="s">
        <v>354</v>
      </c>
      <c r="Q354" s="358" t="s">
        <v>605</v>
      </c>
    </row>
    <row r="355" spans="15:17" x14ac:dyDescent="0.25">
      <c r="O355" t="s">
        <v>461</v>
      </c>
      <c r="P355" s="358" t="s">
        <v>354</v>
      </c>
      <c r="Q355" s="358" t="s">
        <v>606</v>
      </c>
    </row>
    <row r="356" spans="15:17" x14ac:dyDescent="0.25">
      <c r="O356" t="s">
        <v>462</v>
      </c>
      <c r="P356" s="358" t="s">
        <v>354</v>
      </c>
      <c r="Q356" s="358" t="s">
        <v>607</v>
      </c>
    </row>
    <row r="357" spans="15:17" x14ac:dyDescent="0.25">
      <c r="O357" t="s">
        <v>463</v>
      </c>
      <c r="P357" s="358" t="s">
        <v>354</v>
      </c>
      <c r="Q357" s="358" t="s">
        <v>608</v>
      </c>
    </row>
    <row r="358" spans="15:17" x14ac:dyDescent="0.25">
      <c r="O358" t="s">
        <v>469</v>
      </c>
      <c r="P358" s="358" t="s">
        <v>354</v>
      </c>
      <c r="Q358" s="358" t="s">
        <v>1161</v>
      </c>
    </row>
    <row r="359" spans="15:17" x14ac:dyDescent="0.25">
      <c r="O359" t="s">
        <v>470</v>
      </c>
      <c r="P359" s="358" t="s">
        <v>438</v>
      </c>
      <c r="Q359" s="358" t="s">
        <v>1090</v>
      </c>
    </row>
    <row r="360" spans="15:17" x14ac:dyDescent="0.25">
      <c r="O360" t="s">
        <v>471</v>
      </c>
      <c r="P360" s="358" t="s">
        <v>439</v>
      </c>
      <c r="Q360" s="358" t="s">
        <v>1091</v>
      </c>
    </row>
    <row r="361" spans="15:17" x14ac:dyDescent="0.25">
      <c r="O361" t="s">
        <v>472</v>
      </c>
      <c r="P361" s="358" t="s">
        <v>440</v>
      </c>
      <c r="Q361" s="358" t="s">
        <v>1095</v>
      </c>
    </row>
    <row r="362" spans="15:17" x14ac:dyDescent="0.25">
      <c r="O362" t="s">
        <v>825</v>
      </c>
      <c r="P362" s="358" t="s">
        <v>792</v>
      </c>
      <c r="Q362" s="358" t="s">
        <v>630</v>
      </c>
    </row>
    <row r="363" spans="15:17" x14ac:dyDescent="0.25">
      <c r="O363" t="s">
        <v>473</v>
      </c>
      <c r="P363" s="358" t="s">
        <v>442</v>
      </c>
      <c r="Q363" s="358" t="s">
        <v>1086</v>
      </c>
    </row>
    <row r="364" spans="15:17" x14ac:dyDescent="0.25">
      <c r="O364" t="s">
        <v>474</v>
      </c>
      <c r="P364" s="358" t="s">
        <v>441</v>
      </c>
      <c r="Q364" s="358" t="s">
        <v>1086</v>
      </c>
    </row>
    <row r="365" spans="15:17" x14ac:dyDescent="0.25">
      <c r="O365" t="s">
        <v>797</v>
      </c>
      <c r="P365" s="358" t="s">
        <v>355</v>
      </c>
      <c r="Q365" s="358" t="s">
        <v>650</v>
      </c>
    </row>
    <row r="366" spans="15:17" x14ac:dyDescent="0.25">
      <c r="O366" t="s">
        <v>475</v>
      </c>
      <c r="P366" s="358" t="s">
        <v>234</v>
      </c>
      <c r="Q366" s="358" t="s">
        <v>150</v>
      </c>
    </row>
    <row r="367" spans="15:17" x14ac:dyDescent="0.25">
      <c r="O367" t="s">
        <v>476</v>
      </c>
      <c r="P367" s="358" t="s">
        <v>234</v>
      </c>
      <c r="Q367" s="358" t="s">
        <v>995</v>
      </c>
    </row>
    <row r="368" spans="15:17" x14ac:dyDescent="0.25">
      <c r="O368" t="s">
        <v>477</v>
      </c>
      <c r="P368" s="358" t="s">
        <v>234</v>
      </c>
      <c r="Q368" s="358" t="s">
        <v>610</v>
      </c>
    </row>
    <row r="369" spans="15:17" x14ac:dyDescent="0.25">
      <c r="O369" t="s">
        <v>478</v>
      </c>
      <c r="P369" s="358" t="s">
        <v>234</v>
      </c>
      <c r="Q369" s="358" t="s">
        <v>1096</v>
      </c>
    </row>
    <row r="370" spans="15:17" x14ac:dyDescent="0.25">
      <c r="O370" t="s">
        <v>479</v>
      </c>
      <c r="P370" s="358" t="s">
        <v>235</v>
      </c>
      <c r="Q370" s="358" t="s">
        <v>912</v>
      </c>
    </row>
    <row r="371" spans="15:17" x14ac:dyDescent="0.25">
      <c r="O371" t="s">
        <v>480</v>
      </c>
      <c r="P371" s="358" t="s">
        <v>235</v>
      </c>
      <c r="Q371" s="358" t="s">
        <v>777</v>
      </c>
    </row>
    <row r="372" spans="15:17" x14ac:dyDescent="0.25">
      <c r="O372" t="s">
        <v>481</v>
      </c>
      <c r="P372" s="358" t="s">
        <v>443</v>
      </c>
      <c r="Q372" s="358" t="s">
        <v>1097</v>
      </c>
    </row>
    <row r="373" spans="15:17" x14ac:dyDescent="0.25">
      <c r="O373" t="s">
        <v>482</v>
      </c>
      <c r="P373" s="358" t="s">
        <v>793</v>
      </c>
      <c r="Q373" s="358" t="s">
        <v>1092</v>
      </c>
    </row>
    <row r="374" spans="15:17" x14ac:dyDescent="0.25">
      <c r="O374" t="s">
        <v>483</v>
      </c>
      <c r="P374" s="358" t="s">
        <v>237</v>
      </c>
      <c r="Q374" s="358" t="s">
        <v>603</v>
      </c>
    </row>
    <row r="375" spans="15:17" x14ac:dyDescent="0.25">
      <c r="O375" t="s">
        <v>798</v>
      </c>
      <c r="P375" s="358" t="s">
        <v>240</v>
      </c>
      <c r="Q375" s="359" t="s">
        <v>757</v>
      </c>
    </row>
    <row r="376" spans="15:17" x14ac:dyDescent="0.25">
      <c r="O376" t="s">
        <v>799</v>
      </c>
      <c r="P376" s="358" t="s">
        <v>444</v>
      </c>
      <c r="Q376" s="358" t="s">
        <v>1093</v>
      </c>
    </row>
    <row r="377" spans="15:17" x14ac:dyDescent="0.25">
      <c r="O377" t="s">
        <v>800</v>
      </c>
      <c r="P377" s="358" t="s">
        <v>241</v>
      </c>
      <c r="Q377" s="358" t="s">
        <v>590</v>
      </c>
    </row>
    <row r="378" spans="15:17" x14ac:dyDescent="0.25">
      <c r="O378" t="s">
        <v>484</v>
      </c>
      <c r="P378" s="358" t="s">
        <v>241</v>
      </c>
      <c r="Q378" s="358" t="s">
        <v>591</v>
      </c>
    </row>
    <row r="379" spans="15:17" x14ac:dyDescent="0.25">
      <c r="O379" t="s">
        <v>491</v>
      </c>
      <c r="P379" s="358" t="s">
        <v>241</v>
      </c>
      <c r="Q379" s="358" t="s">
        <v>592</v>
      </c>
    </row>
    <row r="380" spans="15:17" x14ac:dyDescent="0.25">
      <c r="O380" t="s">
        <v>492</v>
      </c>
      <c r="P380" s="358" t="s">
        <v>242</v>
      </c>
      <c r="Q380" s="358" t="s">
        <v>913</v>
      </c>
    </row>
    <row r="381" spans="15:17" x14ac:dyDescent="0.25">
      <c r="O381" t="s">
        <v>493</v>
      </c>
      <c r="P381" s="358" t="s">
        <v>242</v>
      </c>
      <c r="Q381" s="358" t="s">
        <v>737</v>
      </c>
    </row>
    <row r="382" spans="15:17" x14ac:dyDescent="0.25">
      <c r="O382" t="s">
        <v>826</v>
      </c>
      <c r="P382" s="358" t="s">
        <v>242</v>
      </c>
      <c r="Q382" s="358" t="s">
        <v>190</v>
      </c>
    </row>
    <row r="383" spans="15:17" x14ac:dyDescent="0.25">
      <c r="O383" t="s">
        <v>494</v>
      </c>
      <c r="P383" s="358" t="s">
        <v>242</v>
      </c>
      <c r="Q383" s="358" t="s">
        <v>191</v>
      </c>
    </row>
    <row r="384" spans="15:17" x14ac:dyDescent="0.25">
      <c r="O384" t="s">
        <v>495</v>
      </c>
      <c r="P384" s="358" t="s">
        <v>242</v>
      </c>
      <c r="Q384" s="358" t="s">
        <v>192</v>
      </c>
    </row>
    <row r="385" spans="15:17" x14ac:dyDescent="0.25">
      <c r="O385" t="s">
        <v>496</v>
      </c>
      <c r="P385" s="358" t="s">
        <v>242</v>
      </c>
      <c r="Q385" s="358" t="s">
        <v>193</v>
      </c>
    </row>
    <row r="386" spans="15:17" x14ac:dyDescent="0.25">
      <c r="O386" t="s">
        <v>497</v>
      </c>
      <c r="P386" s="358" t="s">
        <v>787</v>
      </c>
      <c r="Q386" s="358" t="s">
        <v>914</v>
      </c>
    </row>
    <row r="387" spans="15:17" x14ac:dyDescent="0.25">
      <c r="O387" t="s">
        <v>498</v>
      </c>
      <c r="P387" s="358" t="s">
        <v>243</v>
      </c>
      <c r="Q387" s="358" t="s">
        <v>635</v>
      </c>
    </row>
    <row r="388" spans="15:17" x14ac:dyDescent="0.25">
      <c r="O388" t="s">
        <v>499</v>
      </c>
      <c r="P388" s="358" t="s">
        <v>243</v>
      </c>
      <c r="Q388" s="358" t="s">
        <v>636</v>
      </c>
    </row>
    <row r="389" spans="15:17" x14ac:dyDescent="0.25">
      <c r="O389" t="s">
        <v>500</v>
      </c>
      <c r="P389" s="358" t="s">
        <v>243</v>
      </c>
      <c r="Q389" s="358" t="s">
        <v>637</v>
      </c>
    </row>
    <row r="390" spans="15:17" x14ac:dyDescent="0.25">
      <c r="O390" t="s">
        <v>501</v>
      </c>
      <c r="P390" s="358" t="s">
        <v>244</v>
      </c>
      <c r="Q390" s="358" t="s">
        <v>915</v>
      </c>
    </row>
    <row r="391" spans="15:17" x14ac:dyDescent="0.25">
      <c r="O391" t="s">
        <v>502</v>
      </c>
      <c r="P391" s="358" t="s">
        <v>244</v>
      </c>
      <c r="Q391" s="358" t="s">
        <v>729</v>
      </c>
    </row>
    <row r="392" spans="15:17" x14ac:dyDescent="0.25">
      <c r="O392" t="s">
        <v>504</v>
      </c>
      <c r="P392" s="358" t="s">
        <v>244</v>
      </c>
      <c r="Q392" s="358" t="s">
        <v>730</v>
      </c>
    </row>
    <row r="393" spans="15:17" x14ac:dyDescent="0.25">
      <c r="O393" t="s">
        <v>509</v>
      </c>
      <c r="P393" s="358" t="s">
        <v>244</v>
      </c>
      <c r="Q393" s="358" t="s">
        <v>189</v>
      </c>
    </row>
    <row r="394" spans="15:17" x14ac:dyDescent="0.25">
      <c r="O394" t="s">
        <v>1285</v>
      </c>
      <c r="P394" s="358" t="s">
        <v>244</v>
      </c>
      <c r="Q394" s="358" t="s">
        <v>731</v>
      </c>
    </row>
    <row r="395" spans="15:17" x14ac:dyDescent="0.25">
      <c r="O395" t="s">
        <v>806</v>
      </c>
      <c r="P395" s="358" t="s">
        <v>244</v>
      </c>
      <c r="Q395" s="358" t="s">
        <v>732</v>
      </c>
    </row>
    <row r="396" spans="15:17" x14ac:dyDescent="0.25">
      <c r="O396" t="s">
        <v>807</v>
      </c>
      <c r="P396" s="358" t="s">
        <v>244</v>
      </c>
      <c r="Q396" s="358" t="s">
        <v>733</v>
      </c>
    </row>
    <row r="397" spans="15:17" x14ac:dyDescent="0.25">
      <c r="O397" t="s">
        <v>513</v>
      </c>
      <c r="P397" s="358" t="s">
        <v>244</v>
      </c>
      <c r="Q397" s="358" t="s">
        <v>734</v>
      </c>
    </row>
    <row r="398" spans="15:17" x14ac:dyDescent="0.25">
      <c r="O398" t="s">
        <v>808</v>
      </c>
      <c r="P398" s="358" t="s">
        <v>244</v>
      </c>
      <c r="Q398" s="358" t="s">
        <v>735</v>
      </c>
    </row>
    <row r="399" spans="15:17" x14ac:dyDescent="0.25">
      <c r="O399" t="s">
        <v>809</v>
      </c>
      <c r="P399" s="358" t="s">
        <v>244</v>
      </c>
      <c r="Q399" s="358" t="s">
        <v>736</v>
      </c>
    </row>
    <row r="400" spans="15:17" x14ac:dyDescent="0.25">
      <c r="O400" t="s">
        <v>514</v>
      </c>
      <c r="P400" s="358" t="s">
        <v>245</v>
      </c>
      <c r="Q400" s="358" t="s">
        <v>670</v>
      </c>
    </row>
    <row r="401" spans="15:17" x14ac:dyDescent="0.25">
      <c r="O401" t="s">
        <v>515</v>
      </c>
      <c r="P401" s="358" t="s">
        <v>169</v>
      </c>
      <c r="Q401" s="358" t="s">
        <v>169</v>
      </c>
    </row>
    <row r="402" spans="15:17" x14ac:dyDescent="0.25">
      <c r="O402" t="s">
        <v>517</v>
      </c>
      <c r="P402" s="358" t="s">
        <v>360</v>
      </c>
      <c r="Q402" s="358" t="s">
        <v>870</v>
      </c>
    </row>
    <row r="403" spans="15:17" x14ac:dyDescent="0.25">
      <c r="O403" t="s">
        <v>518</v>
      </c>
      <c r="P403" s="358" t="s">
        <v>361</v>
      </c>
      <c r="Q403" s="358" t="s">
        <v>577</v>
      </c>
    </row>
    <row r="404" spans="15:17" x14ac:dyDescent="0.25">
      <c r="O404" t="s">
        <v>519</v>
      </c>
      <c r="P404" s="358" t="s">
        <v>361</v>
      </c>
      <c r="Q404" s="358" t="s">
        <v>578</v>
      </c>
    </row>
    <row r="405" spans="15:17" x14ac:dyDescent="0.25">
      <c r="P405" s="358" t="s">
        <v>361</v>
      </c>
      <c r="Q405" s="358" t="s">
        <v>871</v>
      </c>
    </row>
    <row r="406" spans="15:17" x14ac:dyDescent="0.25">
      <c r="P406" s="358" t="s">
        <v>361</v>
      </c>
      <c r="Q406" s="358" t="s">
        <v>872</v>
      </c>
    </row>
    <row r="407" spans="15:17" x14ac:dyDescent="0.25">
      <c r="P407" s="358" t="s">
        <v>361</v>
      </c>
      <c r="Q407" s="358" t="s">
        <v>873</v>
      </c>
    </row>
    <row r="408" spans="15:17" x14ac:dyDescent="0.25">
      <c r="P408" s="358" t="s">
        <v>361</v>
      </c>
      <c r="Q408" s="358" t="s">
        <v>874</v>
      </c>
    </row>
    <row r="409" spans="15:17" x14ac:dyDescent="0.25">
      <c r="P409" s="358" t="s">
        <v>361</v>
      </c>
      <c r="Q409" s="358" t="s">
        <v>875</v>
      </c>
    </row>
    <row r="410" spans="15:17" x14ac:dyDescent="0.25">
      <c r="P410" s="358" t="s">
        <v>361</v>
      </c>
      <c r="Q410" s="358" t="s">
        <v>876</v>
      </c>
    </row>
    <row r="411" spans="15:17" x14ac:dyDescent="0.25">
      <c r="P411" s="358" t="s">
        <v>361</v>
      </c>
      <c r="Q411" s="358" t="s">
        <v>877</v>
      </c>
    </row>
    <row r="412" spans="15:17" x14ac:dyDescent="0.25">
      <c r="P412" s="358" t="s">
        <v>361</v>
      </c>
      <c r="Q412" s="358" t="s">
        <v>580</v>
      </c>
    </row>
    <row r="413" spans="15:17" x14ac:dyDescent="0.25">
      <c r="P413" s="358" t="s">
        <v>361</v>
      </c>
      <c r="Q413" s="358" t="s">
        <v>581</v>
      </c>
    </row>
    <row r="414" spans="15:17" x14ac:dyDescent="0.25">
      <c r="P414" s="358" t="s">
        <v>361</v>
      </c>
      <c r="Q414" s="358" t="s">
        <v>1160</v>
      </c>
    </row>
    <row r="415" spans="15:17" x14ac:dyDescent="0.25">
      <c r="P415" s="358" t="s">
        <v>362</v>
      </c>
      <c r="Q415" s="358" t="s">
        <v>839</v>
      </c>
    </row>
    <row r="416" spans="15:17" x14ac:dyDescent="0.25">
      <c r="P416" s="358" t="s">
        <v>362</v>
      </c>
      <c r="Q416" s="358" t="s">
        <v>840</v>
      </c>
    </row>
    <row r="417" spans="16:17" x14ac:dyDescent="0.25">
      <c r="P417" s="358" t="s">
        <v>362</v>
      </c>
      <c r="Q417" s="358" t="s">
        <v>841</v>
      </c>
    </row>
    <row r="418" spans="16:17" x14ac:dyDescent="0.25">
      <c r="P418" s="358" t="s">
        <v>363</v>
      </c>
      <c r="Q418" s="358" t="s">
        <v>842</v>
      </c>
    </row>
    <row r="419" spans="16:17" x14ac:dyDescent="0.25">
      <c r="P419" s="358" t="s">
        <v>364</v>
      </c>
      <c r="Q419" s="358" t="s">
        <v>171</v>
      </c>
    </row>
    <row r="420" spans="16:17" x14ac:dyDescent="0.25">
      <c r="P420" s="358" t="s">
        <v>364</v>
      </c>
      <c r="Q420" s="358" t="s">
        <v>843</v>
      </c>
    </row>
    <row r="421" spans="16:17" x14ac:dyDescent="0.25">
      <c r="P421" s="358" t="s">
        <v>1151</v>
      </c>
      <c r="Q421" s="358" t="s">
        <v>624</v>
      </c>
    </row>
    <row r="422" spans="16:17" x14ac:dyDescent="0.25">
      <c r="P422" s="358" t="s">
        <v>366</v>
      </c>
      <c r="Q422" s="358" t="s">
        <v>648</v>
      </c>
    </row>
    <row r="423" spans="16:17" x14ac:dyDescent="0.25">
      <c r="P423" s="358" t="s">
        <v>366</v>
      </c>
      <c r="Q423" s="358" t="s">
        <v>657</v>
      </c>
    </row>
    <row r="424" spans="16:17" x14ac:dyDescent="0.25">
      <c r="P424" s="358" t="s">
        <v>366</v>
      </c>
      <c r="Q424" s="358" t="s">
        <v>741</v>
      </c>
    </row>
    <row r="425" spans="16:17" x14ac:dyDescent="0.25">
      <c r="P425" s="358" t="s">
        <v>445</v>
      </c>
      <c r="Q425" s="358" t="s">
        <v>1063</v>
      </c>
    </row>
    <row r="426" spans="16:17" x14ac:dyDescent="0.25">
      <c r="P426" s="358" t="s">
        <v>367</v>
      </c>
      <c r="Q426" s="358" t="s">
        <v>916</v>
      </c>
    </row>
    <row r="427" spans="16:17" x14ac:dyDescent="0.25">
      <c r="P427" s="358" t="s">
        <v>368</v>
      </c>
      <c r="Q427" s="358" t="s">
        <v>586</v>
      </c>
    </row>
    <row r="428" spans="16:17" x14ac:dyDescent="0.25">
      <c r="P428" s="358" t="s">
        <v>368</v>
      </c>
      <c r="Q428" s="358" t="s">
        <v>602</v>
      </c>
    </row>
    <row r="429" spans="16:17" x14ac:dyDescent="0.25">
      <c r="P429" s="358" t="s">
        <v>368</v>
      </c>
      <c r="Q429" s="358" t="s">
        <v>878</v>
      </c>
    </row>
    <row r="430" spans="16:17" x14ac:dyDescent="0.25">
      <c r="P430" s="358" t="s">
        <v>368</v>
      </c>
      <c r="Q430" s="358" t="s">
        <v>660</v>
      </c>
    </row>
    <row r="431" spans="16:17" x14ac:dyDescent="0.25">
      <c r="P431" s="358" t="s">
        <v>368</v>
      </c>
      <c r="Q431" s="358" t="s">
        <v>728</v>
      </c>
    </row>
    <row r="432" spans="16:17" x14ac:dyDescent="0.25">
      <c r="P432" s="358" t="s">
        <v>247</v>
      </c>
      <c r="Q432" s="358" t="s">
        <v>614</v>
      </c>
    </row>
    <row r="433" spans="16:17" x14ac:dyDescent="0.25">
      <c r="P433" s="358" t="s">
        <v>248</v>
      </c>
      <c r="Q433" s="358" t="s">
        <v>879</v>
      </c>
    </row>
    <row r="434" spans="16:17" x14ac:dyDescent="0.25">
      <c r="P434" s="358" t="s">
        <v>248</v>
      </c>
      <c r="Q434" s="358" t="s">
        <v>880</v>
      </c>
    </row>
    <row r="435" spans="16:17" x14ac:dyDescent="0.25">
      <c r="P435" s="358" t="s">
        <v>248</v>
      </c>
      <c r="Q435" s="358" t="s">
        <v>881</v>
      </c>
    </row>
    <row r="436" spans="16:17" x14ac:dyDescent="0.25">
      <c r="P436" s="358" t="s">
        <v>248</v>
      </c>
      <c r="Q436" s="358" t="s">
        <v>158</v>
      </c>
    </row>
    <row r="437" spans="16:17" x14ac:dyDescent="0.25">
      <c r="P437" s="358" t="s">
        <v>248</v>
      </c>
      <c r="Q437" s="358" t="s">
        <v>596</v>
      </c>
    </row>
    <row r="438" spans="16:17" x14ac:dyDescent="0.25">
      <c r="P438" s="358" t="s">
        <v>248</v>
      </c>
      <c r="Q438" s="358" t="s">
        <v>159</v>
      </c>
    </row>
    <row r="439" spans="16:17" x14ac:dyDescent="0.25">
      <c r="P439" s="358" t="s">
        <v>248</v>
      </c>
      <c r="Q439" s="358" t="s">
        <v>882</v>
      </c>
    </row>
    <row r="440" spans="16:17" x14ac:dyDescent="0.25">
      <c r="P440" s="358" t="s">
        <v>248</v>
      </c>
      <c r="Q440" s="358" t="s">
        <v>883</v>
      </c>
    </row>
    <row r="441" spans="16:17" x14ac:dyDescent="0.25">
      <c r="P441" s="358" t="s">
        <v>248</v>
      </c>
      <c r="Q441" s="358" t="s">
        <v>884</v>
      </c>
    </row>
    <row r="442" spans="16:17" x14ac:dyDescent="0.25">
      <c r="P442" s="358" t="s">
        <v>248</v>
      </c>
      <c r="Q442" s="358" t="s">
        <v>885</v>
      </c>
    </row>
    <row r="443" spans="16:17" x14ac:dyDescent="0.25">
      <c r="P443" s="358" t="s">
        <v>248</v>
      </c>
      <c r="Q443" s="358" t="s">
        <v>160</v>
      </c>
    </row>
    <row r="444" spans="16:17" x14ac:dyDescent="0.25">
      <c r="P444" s="358" t="s">
        <v>248</v>
      </c>
      <c r="Q444" s="358" t="s">
        <v>886</v>
      </c>
    </row>
    <row r="445" spans="16:17" x14ac:dyDescent="0.25">
      <c r="P445" s="358" t="s">
        <v>248</v>
      </c>
      <c r="Q445" s="358" t="s">
        <v>887</v>
      </c>
    </row>
    <row r="446" spans="16:17" x14ac:dyDescent="0.25">
      <c r="P446" s="358" t="s">
        <v>248</v>
      </c>
      <c r="Q446" s="358" t="s">
        <v>888</v>
      </c>
    </row>
    <row r="447" spans="16:17" x14ac:dyDescent="0.25">
      <c r="P447" s="358" t="s">
        <v>248</v>
      </c>
      <c r="Q447" s="358" t="s">
        <v>889</v>
      </c>
    </row>
    <row r="448" spans="16:17" x14ac:dyDescent="0.25">
      <c r="P448" s="358" t="s">
        <v>248</v>
      </c>
      <c r="Q448" s="358" t="s">
        <v>890</v>
      </c>
    </row>
    <row r="449" spans="16:17" x14ac:dyDescent="0.25">
      <c r="P449" s="358" t="s">
        <v>248</v>
      </c>
      <c r="Q449" s="358" t="s">
        <v>891</v>
      </c>
    </row>
    <row r="450" spans="16:17" x14ac:dyDescent="0.25">
      <c r="P450" s="358" t="s">
        <v>248</v>
      </c>
      <c r="Q450" s="358" t="s">
        <v>892</v>
      </c>
    </row>
    <row r="451" spans="16:17" x14ac:dyDescent="0.25">
      <c r="P451" s="358" t="s">
        <v>248</v>
      </c>
      <c r="Q451" s="358" t="s">
        <v>893</v>
      </c>
    </row>
    <row r="452" spans="16:17" x14ac:dyDescent="0.25">
      <c r="P452" s="358" t="s">
        <v>248</v>
      </c>
      <c r="Q452" s="358" t="s">
        <v>894</v>
      </c>
    </row>
    <row r="453" spans="16:17" x14ac:dyDescent="0.25">
      <c r="P453" s="358" t="s">
        <v>248</v>
      </c>
      <c r="Q453" s="358" t="s">
        <v>600</v>
      </c>
    </row>
    <row r="454" spans="16:17" x14ac:dyDescent="0.25">
      <c r="P454" s="358" t="s">
        <v>248</v>
      </c>
      <c r="Q454" s="358" t="s">
        <v>895</v>
      </c>
    </row>
    <row r="455" spans="16:17" x14ac:dyDescent="0.25">
      <c r="P455" s="358" t="s">
        <v>248</v>
      </c>
      <c r="Q455" s="358" t="s">
        <v>163</v>
      </c>
    </row>
    <row r="456" spans="16:17" x14ac:dyDescent="0.25">
      <c r="P456" s="358" t="s">
        <v>248</v>
      </c>
      <c r="Q456" s="358" t="s">
        <v>896</v>
      </c>
    </row>
    <row r="457" spans="16:17" x14ac:dyDescent="0.25">
      <c r="P457" s="358" t="s">
        <v>248</v>
      </c>
      <c r="Q457" s="358" t="s">
        <v>897</v>
      </c>
    </row>
    <row r="458" spans="16:17" x14ac:dyDescent="0.25">
      <c r="P458" s="358" t="s">
        <v>248</v>
      </c>
      <c r="Q458" s="358" t="s">
        <v>1162</v>
      </c>
    </row>
    <row r="459" spans="16:17" x14ac:dyDescent="0.25">
      <c r="P459" s="358" t="s">
        <v>248</v>
      </c>
      <c r="Q459" s="358" t="s">
        <v>164</v>
      </c>
    </row>
    <row r="460" spans="16:17" x14ac:dyDescent="0.25">
      <c r="P460" s="358" t="s">
        <v>248</v>
      </c>
      <c r="Q460" s="358" t="s">
        <v>898</v>
      </c>
    </row>
    <row r="461" spans="16:17" x14ac:dyDescent="0.25">
      <c r="P461" s="358" t="s">
        <v>248</v>
      </c>
      <c r="Q461" s="358" t="s">
        <v>899</v>
      </c>
    </row>
    <row r="462" spans="16:17" x14ac:dyDescent="0.25">
      <c r="P462" s="358" t="s">
        <v>248</v>
      </c>
      <c r="Q462" s="358" t="s">
        <v>900</v>
      </c>
    </row>
    <row r="463" spans="16:17" x14ac:dyDescent="0.25">
      <c r="P463" s="358" t="s">
        <v>248</v>
      </c>
      <c r="Q463" s="358" t="s">
        <v>901</v>
      </c>
    </row>
    <row r="464" spans="16:17" x14ac:dyDescent="0.25">
      <c r="P464" s="358" t="s">
        <v>248</v>
      </c>
      <c r="Q464" s="358" t="s">
        <v>902</v>
      </c>
    </row>
    <row r="465" spans="16:17" x14ac:dyDescent="0.25">
      <c r="P465" s="358" t="s">
        <v>248</v>
      </c>
      <c r="Q465" s="358" t="s">
        <v>903</v>
      </c>
    </row>
    <row r="466" spans="16:17" x14ac:dyDescent="0.25">
      <c r="P466" s="358" t="s">
        <v>248</v>
      </c>
      <c r="Q466" s="358" t="s">
        <v>172</v>
      </c>
    </row>
    <row r="467" spans="16:17" x14ac:dyDescent="0.25">
      <c r="P467" s="358" t="s">
        <v>249</v>
      </c>
      <c r="Q467" s="359" t="s">
        <v>757</v>
      </c>
    </row>
    <row r="468" spans="16:17" x14ac:dyDescent="0.25">
      <c r="P468" s="358" t="s">
        <v>566</v>
      </c>
      <c r="Q468" s="358" t="s">
        <v>904</v>
      </c>
    </row>
    <row r="469" spans="16:17" x14ac:dyDescent="0.25">
      <c r="P469" s="358" t="s">
        <v>566</v>
      </c>
      <c r="Q469" s="358" t="s">
        <v>905</v>
      </c>
    </row>
    <row r="470" spans="16:17" x14ac:dyDescent="0.25">
      <c r="P470" s="358" t="s">
        <v>566</v>
      </c>
      <c r="Q470" s="358" t="s">
        <v>906</v>
      </c>
    </row>
    <row r="471" spans="16:17" x14ac:dyDescent="0.25">
      <c r="P471" s="358" t="s">
        <v>566</v>
      </c>
      <c r="Q471" s="358" t="s">
        <v>907</v>
      </c>
    </row>
    <row r="472" spans="16:17" x14ac:dyDescent="0.25">
      <c r="P472" s="358" t="s">
        <v>566</v>
      </c>
      <c r="Q472" s="358" t="s">
        <v>908</v>
      </c>
    </row>
    <row r="473" spans="16:17" x14ac:dyDescent="0.25">
      <c r="P473" s="358" t="s">
        <v>365</v>
      </c>
      <c r="Q473" s="358" t="s">
        <v>836</v>
      </c>
    </row>
    <row r="474" spans="16:17" x14ac:dyDescent="0.25">
      <c r="P474" s="358" t="s">
        <v>365</v>
      </c>
      <c r="Q474" s="358" t="s">
        <v>837</v>
      </c>
    </row>
    <row r="475" spans="16:17" x14ac:dyDescent="0.25">
      <c r="P475" s="358" t="s">
        <v>917</v>
      </c>
      <c r="Q475" s="358" t="s">
        <v>842</v>
      </c>
    </row>
    <row r="476" spans="16:17" x14ac:dyDescent="0.25">
      <c r="P476" s="358" t="s">
        <v>369</v>
      </c>
      <c r="Q476" s="358" t="s">
        <v>848</v>
      </c>
    </row>
    <row r="477" spans="16:17" x14ac:dyDescent="0.25">
      <c r="P477" s="358" t="s">
        <v>369</v>
      </c>
      <c r="Q477" s="358" t="s">
        <v>849</v>
      </c>
    </row>
    <row r="478" spans="16:17" x14ac:dyDescent="0.25">
      <c r="P478" s="358" t="s">
        <v>369</v>
      </c>
      <c r="Q478" s="358" t="s">
        <v>850</v>
      </c>
    </row>
    <row r="479" spans="16:17" x14ac:dyDescent="0.25">
      <c r="P479" s="358" t="s">
        <v>369</v>
      </c>
      <c r="Q479" s="358" t="s">
        <v>851</v>
      </c>
    </row>
    <row r="480" spans="16:17" x14ac:dyDescent="0.25">
      <c r="P480" s="358" t="s">
        <v>369</v>
      </c>
      <c r="Q480" s="358" t="s">
        <v>852</v>
      </c>
    </row>
    <row r="481" spans="16:17" x14ac:dyDescent="0.25">
      <c r="P481" s="358" t="s">
        <v>462</v>
      </c>
      <c r="Q481" s="358" t="s">
        <v>1086</v>
      </c>
    </row>
    <row r="482" spans="16:17" x14ac:dyDescent="0.25">
      <c r="P482" s="358" t="s">
        <v>446</v>
      </c>
      <c r="Q482" s="358" t="s">
        <v>1064</v>
      </c>
    </row>
    <row r="483" spans="16:17" x14ac:dyDescent="0.25">
      <c r="P483" s="358" t="s">
        <v>252</v>
      </c>
      <c r="Q483" s="358" t="s">
        <v>647</v>
      </c>
    </row>
    <row r="484" spans="16:17" x14ac:dyDescent="0.25">
      <c r="P484" s="358" t="s">
        <v>252</v>
      </c>
      <c r="Q484" s="358" t="s">
        <v>698</v>
      </c>
    </row>
    <row r="485" spans="16:17" x14ac:dyDescent="0.25">
      <c r="P485" s="358" t="s">
        <v>252</v>
      </c>
      <c r="Q485" s="358" t="s">
        <v>721</v>
      </c>
    </row>
    <row r="486" spans="16:17" x14ac:dyDescent="0.25">
      <c r="P486" s="358" t="s">
        <v>252</v>
      </c>
      <c r="Q486" s="358" t="s">
        <v>726</v>
      </c>
    </row>
    <row r="487" spans="16:17" x14ac:dyDescent="0.25">
      <c r="P487" s="358" t="s">
        <v>252</v>
      </c>
      <c r="Q487" s="358" t="s">
        <v>768</v>
      </c>
    </row>
    <row r="488" spans="16:17" x14ac:dyDescent="0.25">
      <c r="P488" s="358" t="s">
        <v>251</v>
      </c>
      <c r="Q488" s="358" t="s">
        <v>1065</v>
      </c>
    </row>
    <row r="489" spans="16:17" x14ac:dyDescent="0.25">
      <c r="P489" s="358" t="s">
        <v>251</v>
      </c>
      <c r="Q489" s="358" t="s">
        <v>855</v>
      </c>
    </row>
    <row r="490" spans="16:17" x14ac:dyDescent="0.25">
      <c r="P490" s="358" t="s">
        <v>251</v>
      </c>
      <c r="Q490" s="358" t="s">
        <v>1066</v>
      </c>
    </row>
    <row r="491" spans="16:17" x14ac:dyDescent="0.25">
      <c r="P491" s="358" t="s">
        <v>251</v>
      </c>
      <c r="Q491" s="358" t="s">
        <v>1067</v>
      </c>
    </row>
    <row r="492" spans="16:17" x14ac:dyDescent="0.25">
      <c r="P492" s="358" t="s">
        <v>251</v>
      </c>
      <c r="Q492" s="358" t="s">
        <v>856</v>
      </c>
    </row>
    <row r="493" spans="16:17" x14ac:dyDescent="0.25">
      <c r="P493" s="358" t="s">
        <v>251</v>
      </c>
      <c r="Q493" s="358" t="s">
        <v>857</v>
      </c>
    </row>
    <row r="494" spans="16:17" x14ac:dyDescent="0.25">
      <c r="P494" s="358" t="s">
        <v>251</v>
      </c>
      <c r="Q494" s="358" t="s">
        <v>1068</v>
      </c>
    </row>
    <row r="495" spans="16:17" x14ac:dyDescent="0.25">
      <c r="P495" s="358" t="s">
        <v>251</v>
      </c>
      <c r="Q495" s="358" t="s">
        <v>1069</v>
      </c>
    </row>
    <row r="496" spans="16:17" x14ac:dyDescent="0.25">
      <c r="P496" s="358" t="s">
        <v>251</v>
      </c>
      <c r="Q496" s="358" t="s">
        <v>1070</v>
      </c>
    </row>
    <row r="497" spans="16:17" x14ac:dyDescent="0.25">
      <c r="P497" s="358" t="s">
        <v>251</v>
      </c>
      <c r="Q497" s="358" t="s">
        <v>1071</v>
      </c>
    </row>
    <row r="498" spans="16:17" x14ac:dyDescent="0.25">
      <c r="P498" s="358" t="s">
        <v>251</v>
      </c>
      <c r="Q498" s="358" t="s">
        <v>858</v>
      </c>
    </row>
    <row r="499" spans="16:17" x14ac:dyDescent="0.25">
      <c r="P499" s="358" t="s">
        <v>251</v>
      </c>
      <c r="Q499" s="358" t="s">
        <v>1072</v>
      </c>
    </row>
    <row r="500" spans="16:17" x14ac:dyDescent="0.25">
      <c r="P500" s="358" t="s">
        <v>251</v>
      </c>
      <c r="Q500" s="358" t="s">
        <v>859</v>
      </c>
    </row>
    <row r="501" spans="16:17" x14ac:dyDescent="0.25">
      <c r="P501" s="358" t="s">
        <v>251</v>
      </c>
      <c r="Q501" s="358" t="s">
        <v>860</v>
      </c>
    </row>
    <row r="502" spans="16:17" x14ac:dyDescent="0.25">
      <c r="P502" s="358" t="s">
        <v>251</v>
      </c>
      <c r="Q502" s="358" t="s">
        <v>1073</v>
      </c>
    </row>
    <row r="503" spans="16:17" x14ac:dyDescent="0.25">
      <c r="P503" s="358" t="s">
        <v>251</v>
      </c>
      <c r="Q503" s="358" t="s">
        <v>1074</v>
      </c>
    </row>
    <row r="504" spans="16:17" x14ac:dyDescent="0.25">
      <c r="P504" s="358" t="s">
        <v>251</v>
      </c>
      <c r="Q504" s="358" t="s">
        <v>861</v>
      </c>
    </row>
    <row r="505" spans="16:17" x14ac:dyDescent="0.25">
      <c r="P505" s="358" t="s">
        <v>251</v>
      </c>
      <c r="Q505" s="358" t="s">
        <v>1075</v>
      </c>
    </row>
    <row r="506" spans="16:17" x14ac:dyDescent="0.25">
      <c r="P506" s="358" t="s">
        <v>251</v>
      </c>
      <c r="Q506" s="358" t="s">
        <v>1076</v>
      </c>
    </row>
    <row r="507" spans="16:17" x14ac:dyDescent="0.25">
      <c r="P507" s="358" t="s">
        <v>251</v>
      </c>
      <c r="Q507" s="358" t="s">
        <v>1077</v>
      </c>
    </row>
    <row r="508" spans="16:17" x14ac:dyDescent="0.25">
      <c r="P508" s="358" t="s">
        <v>251</v>
      </c>
      <c r="Q508" s="358" t="s">
        <v>1078</v>
      </c>
    </row>
    <row r="509" spans="16:17" x14ac:dyDescent="0.25">
      <c r="P509" s="358" t="s">
        <v>251</v>
      </c>
      <c r="Q509" s="358" t="s">
        <v>1079</v>
      </c>
    </row>
    <row r="510" spans="16:17" x14ac:dyDescent="0.25">
      <c r="P510" s="358" t="s">
        <v>251</v>
      </c>
      <c r="Q510" s="358" t="s">
        <v>862</v>
      </c>
    </row>
    <row r="511" spans="16:17" x14ac:dyDescent="0.25">
      <c r="P511" s="358" t="s">
        <v>251</v>
      </c>
      <c r="Q511" s="358" t="s">
        <v>1080</v>
      </c>
    </row>
    <row r="512" spans="16:17" x14ac:dyDescent="0.25">
      <c r="P512" s="358" t="s">
        <v>251</v>
      </c>
      <c r="Q512" s="358" t="s">
        <v>1081</v>
      </c>
    </row>
    <row r="513" spans="16:17" x14ac:dyDescent="0.25">
      <c r="P513" s="358" t="s">
        <v>251</v>
      </c>
      <c r="Q513" s="358" t="s">
        <v>863</v>
      </c>
    </row>
    <row r="514" spans="16:17" x14ac:dyDescent="0.25">
      <c r="P514" s="358" t="s">
        <v>251</v>
      </c>
      <c r="Q514" s="358" t="s">
        <v>1082</v>
      </c>
    </row>
    <row r="515" spans="16:17" x14ac:dyDescent="0.25">
      <c r="P515" s="358" t="s">
        <v>251</v>
      </c>
      <c r="Q515" s="358" t="s">
        <v>1098</v>
      </c>
    </row>
    <row r="516" spans="16:17" x14ac:dyDescent="0.25">
      <c r="P516" s="358" t="s">
        <v>251</v>
      </c>
      <c r="Q516" s="358" t="s">
        <v>1099</v>
      </c>
    </row>
    <row r="517" spans="16:17" x14ac:dyDescent="0.25">
      <c r="P517" s="358" t="s">
        <v>251</v>
      </c>
      <c r="Q517" s="358" t="s">
        <v>1100</v>
      </c>
    </row>
    <row r="518" spans="16:17" x14ac:dyDescent="0.25">
      <c r="P518" s="358" t="s">
        <v>251</v>
      </c>
      <c r="Q518" s="358" t="s">
        <v>1101</v>
      </c>
    </row>
    <row r="519" spans="16:17" x14ac:dyDescent="0.25">
      <c r="P519" s="358" t="s">
        <v>251</v>
      </c>
      <c r="Q519" s="358" t="s">
        <v>1102</v>
      </c>
    </row>
    <row r="520" spans="16:17" x14ac:dyDescent="0.25">
      <c r="P520" s="358" t="s">
        <v>251</v>
      </c>
      <c r="Q520" s="358" t="s">
        <v>1103</v>
      </c>
    </row>
    <row r="521" spans="16:17" x14ac:dyDescent="0.25">
      <c r="P521" s="358" t="s">
        <v>251</v>
      </c>
      <c r="Q521" s="358" t="s">
        <v>1104</v>
      </c>
    </row>
    <row r="522" spans="16:17" x14ac:dyDescent="0.25">
      <c r="P522" s="358" t="s">
        <v>251</v>
      </c>
      <c r="Q522" s="358" t="s">
        <v>1105</v>
      </c>
    </row>
    <row r="523" spans="16:17" x14ac:dyDescent="0.25">
      <c r="P523" s="358" t="s">
        <v>251</v>
      </c>
      <c r="Q523" s="358" t="s">
        <v>1106</v>
      </c>
    </row>
    <row r="524" spans="16:17" x14ac:dyDescent="0.25">
      <c r="P524" s="358" t="s">
        <v>251</v>
      </c>
      <c r="Q524" s="358" t="s">
        <v>1107</v>
      </c>
    </row>
    <row r="525" spans="16:17" x14ac:dyDescent="0.25">
      <c r="P525" s="358" t="s">
        <v>251</v>
      </c>
      <c r="Q525" s="358" t="s">
        <v>1108</v>
      </c>
    </row>
    <row r="526" spans="16:17" x14ac:dyDescent="0.25">
      <c r="P526" s="358" t="s">
        <v>251</v>
      </c>
      <c r="Q526" s="358" t="s">
        <v>1109</v>
      </c>
    </row>
    <row r="527" spans="16:17" x14ac:dyDescent="0.25">
      <c r="P527" s="358" t="s">
        <v>251</v>
      </c>
      <c r="Q527" s="358" t="s">
        <v>1110</v>
      </c>
    </row>
    <row r="528" spans="16:17" x14ac:dyDescent="0.25">
      <c r="P528" s="358" t="s">
        <v>251</v>
      </c>
      <c r="Q528" s="358" t="s">
        <v>1111</v>
      </c>
    </row>
    <row r="529" spans="16:17" x14ac:dyDescent="0.25">
      <c r="P529" s="358" t="s">
        <v>251</v>
      </c>
      <c r="Q529" s="358" t="s">
        <v>1112</v>
      </c>
    </row>
    <row r="530" spans="16:17" x14ac:dyDescent="0.25">
      <c r="P530" s="358" t="s">
        <v>251</v>
      </c>
      <c r="Q530" s="358" t="s">
        <v>1113</v>
      </c>
    </row>
    <row r="531" spans="16:17" x14ac:dyDescent="0.25">
      <c r="P531" s="358" t="s">
        <v>251</v>
      </c>
      <c r="Q531" s="358" t="s">
        <v>1114</v>
      </c>
    </row>
    <row r="532" spans="16:17" x14ac:dyDescent="0.25">
      <c r="P532" s="358" t="s">
        <v>251</v>
      </c>
      <c r="Q532" s="358" t="s">
        <v>1115</v>
      </c>
    </row>
    <row r="533" spans="16:17" x14ac:dyDescent="0.25">
      <c r="P533" s="358" t="s">
        <v>251</v>
      </c>
      <c r="Q533" s="358" t="s">
        <v>1116</v>
      </c>
    </row>
    <row r="534" spans="16:17" x14ac:dyDescent="0.25">
      <c r="P534" s="358" t="s">
        <v>251</v>
      </c>
      <c r="Q534" s="358" t="s">
        <v>1117</v>
      </c>
    </row>
    <row r="535" spans="16:17" x14ac:dyDescent="0.25">
      <c r="P535" s="358" t="s">
        <v>251</v>
      </c>
      <c r="Q535" s="358" t="s">
        <v>1118</v>
      </c>
    </row>
    <row r="536" spans="16:17" x14ac:dyDescent="0.25">
      <c r="P536" s="358" t="s">
        <v>251</v>
      </c>
      <c r="Q536" s="358" t="s">
        <v>1119</v>
      </c>
    </row>
    <row r="537" spans="16:17" x14ac:dyDescent="0.25">
      <c r="P537" s="358" t="s">
        <v>251</v>
      </c>
      <c r="Q537" s="358" t="s">
        <v>1120</v>
      </c>
    </row>
    <row r="538" spans="16:17" x14ac:dyDescent="0.25">
      <c r="P538" s="358" t="s">
        <v>251</v>
      </c>
      <c r="Q538" s="358" t="s">
        <v>1121</v>
      </c>
    </row>
    <row r="539" spans="16:17" x14ac:dyDescent="0.25">
      <c r="P539" s="358" t="s">
        <v>251</v>
      </c>
      <c r="Q539" s="358" t="s">
        <v>1122</v>
      </c>
    </row>
    <row r="540" spans="16:17" x14ac:dyDescent="0.25">
      <c r="P540" s="358" t="s">
        <v>251</v>
      </c>
      <c r="Q540" s="358" t="s">
        <v>1123</v>
      </c>
    </row>
    <row r="541" spans="16:17" x14ac:dyDescent="0.25">
      <c r="P541" s="358" t="s">
        <v>251</v>
      </c>
      <c r="Q541" s="358" t="s">
        <v>1124</v>
      </c>
    </row>
    <row r="542" spans="16:17" x14ac:dyDescent="0.25">
      <c r="P542" s="358" t="s">
        <v>447</v>
      </c>
      <c r="Q542" s="358" t="s">
        <v>624</v>
      </c>
    </row>
    <row r="543" spans="16:17" x14ac:dyDescent="0.25">
      <c r="P543" s="358" t="e">
        <v>#N/A</v>
      </c>
      <c r="Q543" s="359" t="s">
        <v>151</v>
      </c>
    </row>
    <row r="544" spans="16:17" x14ac:dyDescent="0.25">
      <c r="P544" s="358" t="s">
        <v>370</v>
      </c>
      <c r="Q544" s="358" t="s">
        <v>615</v>
      </c>
    </row>
    <row r="545" spans="16:17" x14ac:dyDescent="0.25">
      <c r="P545" s="358" t="s">
        <v>370</v>
      </c>
      <c r="Q545" s="358" t="s">
        <v>918</v>
      </c>
    </row>
    <row r="546" spans="16:17" x14ac:dyDescent="0.25">
      <c r="P546" s="358" t="s">
        <v>371</v>
      </c>
      <c r="Q546" s="358" t="s">
        <v>648</v>
      </c>
    </row>
    <row r="547" spans="16:17" x14ac:dyDescent="0.25">
      <c r="P547" s="358" t="s">
        <v>371</v>
      </c>
      <c r="Q547" s="358" t="s">
        <v>657</v>
      </c>
    </row>
    <row r="548" spans="16:17" x14ac:dyDescent="0.25">
      <c r="P548" s="358" t="s">
        <v>371</v>
      </c>
      <c r="Q548" s="358" t="s">
        <v>741</v>
      </c>
    </row>
    <row r="549" spans="16:17" x14ac:dyDescent="0.25">
      <c r="P549" s="358" t="s">
        <v>253</v>
      </c>
      <c r="Q549" s="358" t="s">
        <v>617</v>
      </c>
    </row>
    <row r="550" spans="16:17" x14ac:dyDescent="0.25">
      <c r="P550" s="358" t="s">
        <v>253</v>
      </c>
      <c r="Q550" s="358" t="s">
        <v>253</v>
      </c>
    </row>
    <row r="551" spans="16:17" x14ac:dyDescent="0.25">
      <c r="P551" s="358" t="s">
        <v>448</v>
      </c>
      <c r="Q551" s="358" t="s">
        <v>1084</v>
      </c>
    </row>
    <row r="552" spans="16:17" x14ac:dyDescent="0.25">
      <c r="P552" s="358" t="s">
        <v>1153</v>
      </c>
      <c r="Q552" s="358" t="s">
        <v>619</v>
      </c>
    </row>
    <row r="553" spans="16:17" x14ac:dyDescent="0.25">
      <c r="P553" s="358" t="s">
        <v>449</v>
      </c>
      <c r="Q553" s="358" t="s">
        <v>1085</v>
      </c>
    </row>
    <row r="554" spans="16:17" x14ac:dyDescent="0.25">
      <c r="P554" s="358" t="s">
        <v>450</v>
      </c>
      <c r="Q554" s="358" t="s">
        <v>1086</v>
      </c>
    </row>
    <row r="555" spans="16:17" x14ac:dyDescent="0.25">
      <c r="P555" s="358" t="s">
        <v>451</v>
      </c>
      <c r="Q555" s="358" t="s">
        <v>1087</v>
      </c>
    </row>
    <row r="556" spans="16:17" x14ac:dyDescent="0.25">
      <c r="P556" s="358" t="s">
        <v>794</v>
      </c>
      <c r="Q556" s="358" t="s">
        <v>1063</v>
      </c>
    </row>
    <row r="557" spans="16:17" x14ac:dyDescent="0.25">
      <c r="P557" s="358" t="s">
        <v>452</v>
      </c>
      <c r="Q557" s="358" t="s">
        <v>1061</v>
      </c>
    </row>
    <row r="558" spans="16:17" x14ac:dyDescent="0.25">
      <c r="P558" s="358" t="s">
        <v>372</v>
      </c>
      <c r="Q558" s="358" t="s">
        <v>619</v>
      </c>
    </row>
    <row r="559" spans="16:17" x14ac:dyDescent="0.25">
      <c r="P559" s="358" t="s">
        <v>372</v>
      </c>
      <c r="Q559" s="358" t="s">
        <v>919</v>
      </c>
    </row>
    <row r="560" spans="16:17" x14ac:dyDescent="0.25">
      <c r="P560" s="358" t="s">
        <v>372</v>
      </c>
      <c r="Q560" s="358" t="s">
        <v>920</v>
      </c>
    </row>
    <row r="561" spans="16:17" x14ac:dyDescent="0.25">
      <c r="P561" s="358" t="s">
        <v>824</v>
      </c>
      <c r="Q561" s="358" t="s">
        <v>1061</v>
      </c>
    </row>
    <row r="562" spans="16:17" x14ac:dyDescent="0.25">
      <c r="P562" s="358" t="s">
        <v>921</v>
      </c>
      <c r="Q562" s="358" t="s">
        <v>922</v>
      </c>
    </row>
    <row r="563" spans="16:17" x14ac:dyDescent="0.25">
      <c r="P563" s="358" t="e">
        <v>#N/A</v>
      </c>
      <c r="Q563" s="359" t="s">
        <v>923</v>
      </c>
    </row>
    <row r="564" spans="16:17" x14ac:dyDescent="0.25">
      <c r="P564" s="358" t="s">
        <v>373</v>
      </c>
      <c r="Q564" s="358" t="s">
        <v>923</v>
      </c>
    </row>
    <row r="565" spans="16:17" x14ac:dyDescent="0.25">
      <c r="P565" s="358" t="s">
        <v>374</v>
      </c>
      <c r="Q565" s="358" t="s">
        <v>612</v>
      </c>
    </row>
    <row r="566" spans="16:17" x14ac:dyDescent="0.25">
      <c r="P566" s="358" t="s">
        <v>453</v>
      </c>
      <c r="Q566" s="358" t="s">
        <v>1086</v>
      </c>
    </row>
    <row r="567" spans="16:17" x14ac:dyDescent="0.25">
      <c r="P567" s="358" t="s">
        <v>454</v>
      </c>
      <c r="Q567" s="358" t="s">
        <v>1089</v>
      </c>
    </row>
    <row r="568" spans="16:17" x14ac:dyDescent="0.25">
      <c r="P568" s="358" t="s">
        <v>375</v>
      </c>
      <c r="Q568" s="358" t="s">
        <v>1160</v>
      </c>
    </row>
    <row r="569" spans="16:17" x14ac:dyDescent="0.25">
      <c r="P569" s="358" t="s">
        <v>375</v>
      </c>
      <c r="Q569" s="358" t="s">
        <v>924</v>
      </c>
    </row>
    <row r="570" spans="16:17" x14ac:dyDescent="0.25">
      <c r="P570" s="358" t="s">
        <v>375</v>
      </c>
      <c r="Q570" s="358" t="s">
        <v>925</v>
      </c>
    </row>
    <row r="571" spans="16:17" x14ac:dyDescent="0.25">
      <c r="P571" s="358" t="s">
        <v>375</v>
      </c>
      <c r="Q571" s="358" t="s">
        <v>926</v>
      </c>
    </row>
    <row r="572" spans="16:17" x14ac:dyDescent="0.25">
      <c r="P572" s="358" t="s">
        <v>375</v>
      </c>
      <c r="Q572" s="358" t="s">
        <v>927</v>
      </c>
    </row>
    <row r="573" spans="16:17" x14ac:dyDescent="0.25">
      <c r="P573" s="358" t="s">
        <v>375</v>
      </c>
      <c r="Q573" s="358" t="s">
        <v>928</v>
      </c>
    </row>
    <row r="574" spans="16:17" x14ac:dyDescent="0.25">
      <c r="P574" s="358" t="s">
        <v>375</v>
      </c>
      <c r="Q574" s="358" t="s">
        <v>929</v>
      </c>
    </row>
    <row r="575" spans="16:17" x14ac:dyDescent="0.25">
      <c r="P575" s="358" t="s">
        <v>375</v>
      </c>
      <c r="Q575" s="358" t="s">
        <v>930</v>
      </c>
    </row>
    <row r="576" spans="16:17" x14ac:dyDescent="0.25">
      <c r="P576" s="358" t="s">
        <v>375</v>
      </c>
      <c r="Q576" s="358" t="s">
        <v>931</v>
      </c>
    </row>
    <row r="577" spans="16:17" x14ac:dyDescent="0.25">
      <c r="P577" s="358" t="s">
        <v>375</v>
      </c>
      <c r="Q577" s="358" t="s">
        <v>932</v>
      </c>
    </row>
    <row r="578" spans="16:17" x14ac:dyDescent="0.25">
      <c r="P578" s="358" t="s">
        <v>375</v>
      </c>
      <c r="Q578" s="358" t="s">
        <v>933</v>
      </c>
    </row>
    <row r="579" spans="16:17" x14ac:dyDescent="0.25">
      <c r="P579" s="358" t="s">
        <v>375</v>
      </c>
      <c r="Q579" s="358" t="s">
        <v>620</v>
      </c>
    </row>
    <row r="580" spans="16:17" x14ac:dyDescent="0.25">
      <c r="P580" s="358" t="s">
        <v>375</v>
      </c>
      <c r="Q580" s="358" t="s">
        <v>652</v>
      </c>
    </row>
    <row r="581" spans="16:17" x14ac:dyDescent="0.25">
      <c r="P581" s="358" t="s">
        <v>375</v>
      </c>
      <c r="Q581" s="358" t="s">
        <v>1161</v>
      </c>
    </row>
    <row r="582" spans="16:17" x14ac:dyDescent="0.25">
      <c r="P582" s="358" t="s">
        <v>455</v>
      </c>
      <c r="Q582" s="358" t="s">
        <v>1090</v>
      </c>
    </row>
    <row r="583" spans="16:17" x14ac:dyDescent="0.25">
      <c r="P583" s="358" t="s">
        <v>567</v>
      </c>
      <c r="Q583" s="358" t="s">
        <v>934</v>
      </c>
    </row>
    <row r="584" spans="16:17" x14ac:dyDescent="0.25">
      <c r="P584" s="358" t="s">
        <v>567</v>
      </c>
      <c r="Q584" s="358" t="s">
        <v>935</v>
      </c>
    </row>
    <row r="585" spans="16:17" x14ac:dyDescent="0.25">
      <c r="P585" s="358" t="s">
        <v>456</v>
      </c>
      <c r="Q585" s="358" t="s">
        <v>1091</v>
      </c>
    </row>
    <row r="586" spans="16:17" x14ac:dyDescent="0.25">
      <c r="P586" s="358" t="s">
        <v>457</v>
      </c>
      <c r="Q586" s="358" t="s">
        <v>1095</v>
      </c>
    </row>
    <row r="587" spans="16:17" x14ac:dyDescent="0.25">
      <c r="P587" s="358" t="s">
        <v>795</v>
      </c>
      <c r="Q587" s="358" t="s">
        <v>632</v>
      </c>
    </row>
    <row r="588" spans="16:17" x14ac:dyDescent="0.25">
      <c r="P588" s="358" t="s">
        <v>795</v>
      </c>
      <c r="Q588" s="358" t="s">
        <v>644</v>
      </c>
    </row>
    <row r="589" spans="16:17" x14ac:dyDescent="0.25">
      <c r="P589" s="358" t="s">
        <v>254</v>
      </c>
      <c r="Q589" s="358" t="s">
        <v>627</v>
      </c>
    </row>
    <row r="590" spans="16:17" x14ac:dyDescent="0.25">
      <c r="P590" s="358" t="s">
        <v>254</v>
      </c>
      <c r="Q590" s="358" t="s">
        <v>629</v>
      </c>
    </row>
    <row r="591" spans="16:17" x14ac:dyDescent="0.25">
      <c r="P591" s="358" t="s">
        <v>254</v>
      </c>
      <c r="Q591" s="358" t="s">
        <v>634</v>
      </c>
    </row>
    <row r="592" spans="16:17" x14ac:dyDescent="0.25">
      <c r="P592" s="358" t="s">
        <v>459</v>
      </c>
      <c r="Q592" s="358" t="s">
        <v>1086</v>
      </c>
    </row>
    <row r="593" spans="16:17" x14ac:dyDescent="0.25">
      <c r="P593" s="358" t="s">
        <v>796</v>
      </c>
      <c r="Q593" s="358" t="s">
        <v>1086</v>
      </c>
    </row>
    <row r="594" spans="16:17" x14ac:dyDescent="0.25">
      <c r="P594" s="358" t="s">
        <v>460</v>
      </c>
      <c r="Q594" s="358" t="s">
        <v>1086</v>
      </c>
    </row>
    <row r="595" spans="16:17" x14ac:dyDescent="0.25">
      <c r="P595" s="358" t="s">
        <v>458</v>
      </c>
      <c r="Q595" s="358" t="s">
        <v>1086</v>
      </c>
    </row>
    <row r="596" spans="16:17" x14ac:dyDescent="0.25">
      <c r="P596" s="358" t="s">
        <v>376</v>
      </c>
      <c r="Q596" s="358" t="s">
        <v>649</v>
      </c>
    </row>
    <row r="597" spans="16:17" x14ac:dyDescent="0.25">
      <c r="P597" s="358" t="s">
        <v>377</v>
      </c>
      <c r="Q597" s="358" t="s">
        <v>936</v>
      </c>
    </row>
    <row r="598" spans="16:17" x14ac:dyDescent="0.25">
      <c r="P598" s="358" t="s">
        <v>377</v>
      </c>
      <c r="Q598" s="358" t="s">
        <v>937</v>
      </c>
    </row>
    <row r="599" spans="16:17" x14ac:dyDescent="0.25">
      <c r="P599" s="358" t="s">
        <v>377</v>
      </c>
      <c r="Q599" s="358" t="s">
        <v>651</v>
      </c>
    </row>
    <row r="600" spans="16:17" x14ac:dyDescent="0.25">
      <c r="P600" s="358" t="s">
        <v>255</v>
      </c>
      <c r="Q600" s="358" t="s">
        <v>645</v>
      </c>
    </row>
    <row r="601" spans="16:17" x14ac:dyDescent="0.25">
      <c r="P601" s="358" t="s">
        <v>255</v>
      </c>
      <c r="Q601" s="358" t="s">
        <v>646</v>
      </c>
    </row>
    <row r="602" spans="16:17" x14ac:dyDescent="0.25">
      <c r="P602" s="367" t="s">
        <v>255</v>
      </c>
      <c r="Q602" s="367" t="s">
        <v>658</v>
      </c>
    </row>
    <row r="603" spans="16:17" x14ac:dyDescent="0.25">
      <c r="P603" s="358" t="s">
        <v>256</v>
      </c>
      <c r="Q603" s="358" t="s">
        <v>938</v>
      </c>
    </row>
    <row r="604" spans="16:17" x14ac:dyDescent="0.25">
      <c r="P604" s="358" t="s">
        <v>256</v>
      </c>
      <c r="Q604" s="358" t="s">
        <v>194</v>
      </c>
    </row>
    <row r="605" spans="16:17" x14ac:dyDescent="0.25">
      <c r="P605" s="358" t="s">
        <v>256</v>
      </c>
      <c r="Q605" s="358" t="s">
        <v>939</v>
      </c>
    </row>
    <row r="606" spans="16:17" x14ac:dyDescent="0.25">
      <c r="P606" s="358" t="s">
        <v>256</v>
      </c>
      <c r="Q606" s="358" t="s">
        <v>940</v>
      </c>
    </row>
    <row r="607" spans="16:17" x14ac:dyDescent="0.25">
      <c r="P607" s="358" t="s">
        <v>256</v>
      </c>
      <c r="Q607" s="358" t="s">
        <v>941</v>
      </c>
    </row>
    <row r="608" spans="16:17" x14ac:dyDescent="0.25">
      <c r="P608" s="358" t="s">
        <v>256</v>
      </c>
      <c r="Q608" s="358" t="s">
        <v>942</v>
      </c>
    </row>
    <row r="609" spans="16:17" x14ac:dyDescent="0.25">
      <c r="P609" s="358" t="s">
        <v>256</v>
      </c>
      <c r="Q609" s="358" t="s">
        <v>943</v>
      </c>
    </row>
    <row r="610" spans="16:17" x14ac:dyDescent="0.25">
      <c r="P610" s="358" t="s">
        <v>256</v>
      </c>
      <c r="Q610" s="358" t="s">
        <v>944</v>
      </c>
    </row>
    <row r="611" spans="16:17" x14ac:dyDescent="0.25">
      <c r="P611" s="358" t="s">
        <v>256</v>
      </c>
      <c r="Q611" s="358" t="s">
        <v>739</v>
      </c>
    </row>
    <row r="612" spans="16:17" x14ac:dyDescent="0.25">
      <c r="P612" s="358" t="s">
        <v>256</v>
      </c>
      <c r="Q612" s="358" t="s">
        <v>740</v>
      </c>
    </row>
    <row r="613" spans="16:17" x14ac:dyDescent="0.25">
      <c r="P613" s="358" t="s">
        <v>256</v>
      </c>
      <c r="Q613" s="358" t="s">
        <v>945</v>
      </c>
    </row>
    <row r="614" spans="16:17" x14ac:dyDescent="0.25">
      <c r="P614" s="358" t="s">
        <v>256</v>
      </c>
      <c r="Q614" s="358" t="s">
        <v>946</v>
      </c>
    </row>
    <row r="615" spans="16:17" x14ac:dyDescent="0.25">
      <c r="P615" s="358" t="s">
        <v>256</v>
      </c>
      <c r="Q615" s="358" t="s">
        <v>947</v>
      </c>
    </row>
    <row r="616" spans="16:17" x14ac:dyDescent="0.25">
      <c r="P616" s="358" t="s">
        <v>256</v>
      </c>
      <c r="Q616" s="358" t="s">
        <v>197</v>
      </c>
    </row>
    <row r="617" spans="16:17" x14ac:dyDescent="0.25">
      <c r="P617" s="358" t="s">
        <v>256</v>
      </c>
      <c r="Q617" s="358" t="s">
        <v>198</v>
      </c>
    </row>
    <row r="618" spans="16:17" x14ac:dyDescent="0.25">
      <c r="P618" s="358" t="s">
        <v>256</v>
      </c>
      <c r="Q618" s="358" t="s">
        <v>967</v>
      </c>
    </row>
    <row r="619" spans="16:17" x14ac:dyDescent="0.25">
      <c r="P619" s="358" t="s">
        <v>256</v>
      </c>
      <c r="Q619" s="358" t="s">
        <v>778</v>
      </c>
    </row>
    <row r="620" spans="16:17" x14ac:dyDescent="0.25">
      <c r="P620" s="358" t="s">
        <v>256</v>
      </c>
      <c r="Q620" s="358" t="s">
        <v>968</v>
      </c>
    </row>
    <row r="621" spans="16:17" x14ac:dyDescent="0.25">
      <c r="P621" s="358" t="s">
        <v>256</v>
      </c>
      <c r="Q621" s="358" t="s">
        <v>969</v>
      </c>
    </row>
    <row r="622" spans="16:17" x14ac:dyDescent="0.25">
      <c r="P622" s="358" t="s">
        <v>256</v>
      </c>
      <c r="Q622" s="358" t="s">
        <v>970</v>
      </c>
    </row>
    <row r="623" spans="16:17" x14ac:dyDescent="0.25">
      <c r="P623" s="358" t="s">
        <v>256</v>
      </c>
      <c r="Q623" s="358" t="s">
        <v>971</v>
      </c>
    </row>
    <row r="624" spans="16:17" x14ac:dyDescent="0.25">
      <c r="P624" s="358" t="s">
        <v>256</v>
      </c>
      <c r="Q624" s="358" t="s">
        <v>972</v>
      </c>
    </row>
    <row r="625" spans="16:17" x14ac:dyDescent="0.25">
      <c r="P625" s="358" t="s">
        <v>256</v>
      </c>
      <c r="Q625" s="358" t="s">
        <v>973</v>
      </c>
    </row>
    <row r="626" spans="16:17" x14ac:dyDescent="0.25">
      <c r="P626" s="358" t="s">
        <v>256</v>
      </c>
      <c r="Q626" s="358" t="s">
        <v>779</v>
      </c>
    </row>
    <row r="627" spans="16:17" x14ac:dyDescent="0.25">
      <c r="P627" s="358" t="s">
        <v>256</v>
      </c>
      <c r="Q627" s="358" t="s">
        <v>780</v>
      </c>
    </row>
    <row r="628" spans="16:17" x14ac:dyDescent="0.25">
      <c r="P628" s="358" t="s">
        <v>256</v>
      </c>
      <c r="Q628" s="358" t="s">
        <v>974</v>
      </c>
    </row>
    <row r="629" spans="16:17" x14ac:dyDescent="0.25">
      <c r="P629" s="358" t="s">
        <v>256</v>
      </c>
      <c r="Q629" s="358" t="s">
        <v>975</v>
      </c>
    </row>
    <row r="630" spans="16:17" x14ac:dyDescent="0.25">
      <c r="P630" s="358" t="s">
        <v>256</v>
      </c>
      <c r="Q630" s="358" t="s">
        <v>976</v>
      </c>
    </row>
    <row r="631" spans="16:17" x14ac:dyDescent="0.25">
      <c r="P631" s="358" t="s">
        <v>257</v>
      </c>
      <c r="Q631" s="358" t="s">
        <v>674</v>
      </c>
    </row>
    <row r="632" spans="16:17" x14ac:dyDescent="0.25">
      <c r="P632" s="358" t="s">
        <v>257</v>
      </c>
      <c r="Q632" s="358" t="s">
        <v>687</v>
      </c>
    </row>
    <row r="633" spans="16:17" x14ac:dyDescent="0.25">
      <c r="P633" s="358" t="s">
        <v>461</v>
      </c>
      <c r="Q633" s="358" t="s">
        <v>1092</v>
      </c>
    </row>
    <row r="634" spans="16:17" x14ac:dyDescent="0.25">
      <c r="P634" s="358" t="s">
        <v>258</v>
      </c>
      <c r="Q634" s="358" t="s">
        <v>1003</v>
      </c>
    </row>
    <row r="635" spans="16:17" x14ac:dyDescent="0.25">
      <c r="P635" s="358" t="s">
        <v>258</v>
      </c>
      <c r="Q635" s="358" t="s">
        <v>1004</v>
      </c>
    </row>
    <row r="636" spans="16:17" x14ac:dyDescent="0.25">
      <c r="P636" s="358" t="s">
        <v>258</v>
      </c>
      <c r="Q636" s="358" t="s">
        <v>1005</v>
      </c>
    </row>
    <row r="637" spans="16:17" x14ac:dyDescent="0.25">
      <c r="P637" s="358" t="s">
        <v>258</v>
      </c>
      <c r="Q637" s="358" t="s">
        <v>582</v>
      </c>
    </row>
    <row r="638" spans="16:17" x14ac:dyDescent="0.25">
      <c r="P638" s="358" t="s">
        <v>258</v>
      </c>
      <c r="Q638" s="358" t="s">
        <v>583</v>
      </c>
    </row>
    <row r="639" spans="16:17" x14ac:dyDescent="0.25">
      <c r="P639" s="358" t="s">
        <v>258</v>
      </c>
      <c r="Q639" s="358" t="s">
        <v>1006</v>
      </c>
    </row>
    <row r="640" spans="16:17" x14ac:dyDescent="0.25">
      <c r="P640" s="358" t="s">
        <v>258</v>
      </c>
      <c r="Q640" s="358" t="s">
        <v>1007</v>
      </c>
    </row>
    <row r="641" spans="16:17" x14ac:dyDescent="0.25">
      <c r="P641" s="358" t="s">
        <v>258</v>
      </c>
      <c r="Q641" s="358" t="s">
        <v>1008</v>
      </c>
    </row>
    <row r="642" spans="16:17" x14ac:dyDescent="0.25">
      <c r="P642" s="358" t="s">
        <v>258</v>
      </c>
      <c r="Q642" s="358" t="s">
        <v>1009</v>
      </c>
    </row>
    <row r="643" spans="16:17" x14ac:dyDescent="0.25">
      <c r="P643" s="358" t="s">
        <v>258</v>
      </c>
      <c r="Q643" s="358" t="s">
        <v>1163</v>
      </c>
    </row>
    <row r="644" spans="16:17" x14ac:dyDescent="0.25">
      <c r="P644" s="358" t="s">
        <v>258</v>
      </c>
      <c r="Q644" s="358" t="s">
        <v>1010</v>
      </c>
    </row>
    <row r="645" spans="16:17" x14ac:dyDescent="0.25">
      <c r="P645" s="358" t="s">
        <v>258</v>
      </c>
      <c r="Q645" s="358" t="s">
        <v>1011</v>
      </c>
    </row>
    <row r="646" spans="16:17" x14ac:dyDescent="0.25">
      <c r="P646" s="358" t="s">
        <v>258</v>
      </c>
      <c r="Q646" s="358" t="s">
        <v>1012</v>
      </c>
    </row>
    <row r="647" spans="16:17" x14ac:dyDescent="0.25">
      <c r="P647" s="358" t="s">
        <v>258</v>
      </c>
      <c r="Q647" s="358" t="s">
        <v>1013</v>
      </c>
    </row>
    <row r="648" spans="16:17" x14ac:dyDescent="0.25">
      <c r="P648" s="358" t="s">
        <v>258</v>
      </c>
      <c r="Q648" s="358" t="s">
        <v>1014</v>
      </c>
    </row>
    <row r="649" spans="16:17" x14ac:dyDescent="0.25">
      <c r="P649" s="358" t="s">
        <v>258</v>
      </c>
      <c r="Q649" s="358" t="s">
        <v>584</v>
      </c>
    </row>
    <row r="650" spans="16:17" x14ac:dyDescent="0.25">
      <c r="P650" s="358" t="s">
        <v>258</v>
      </c>
      <c r="Q650" s="358" t="s">
        <v>1015</v>
      </c>
    </row>
    <row r="651" spans="16:17" x14ac:dyDescent="0.25">
      <c r="P651" s="358" t="s">
        <v>258</v>
      </c>
      <c r="Q651" s="358" t="s">
        <v>1016</v>
      </c>
    </row>
    <row r="652" spans="16:17" x14ac:dyDescent="0.25">
      <c r="P652" s="358" t="s">
        <v>258</v>
      </c>
      <c r="Q652" s="358" t="s">
        <v>1017</v>
      </c>
    </row>
    <row r="653" spans="16:17" x14ac:dyDescent="0.25">
      <c r="P653" s="358" t="s">
        <v>258</v>
      </c>
      <c r="Q653" s="358" t="s">
        <v>1018</v>
      </c>
    </row>
    <row r="654" spans="16:17" x14ac:dyDescent="0.25">
      <c r="P654" s="358" t="s">
        <v>258</v>
      </c>
      <c r="Q654" s="358" t="s">
        <v>585</v>
      </c>
    </row>
    <row r="655" spans="16:17" x14ac:dyDescent="0.25">
      <c r="P655" s="358" t="s">
        <v>258</v>
      </c>
      <c r="Q655" s="358" t="s">
        <v>1019</v>
      </c>
    </row>
    <row r="656" spans="16:17" x14ac:dyDescent="0.25">
      <c r="P656" s="358" t="s">
        <v>258</v>
      </c>
      <c r="Q656" s="358" t="s">
        <v>1020</v>
      </c>
    </row>
    <row r="657" spans="16:17" x14ac:dyDescent="0.25">
      <c r="P657" s="358" t="s">
        <v>258</v>
      </c>
      <c r="Q657" s="358" t="s">
        <v>1164</v>
      </c>
    </row>
    <row r="658" spans="16:17" x14ac:dyDescent="0.25">
      <c r="P658" s="358" t="s">
        <v>258</v>
      </c>
      <c r="Q658" s="358" t="s">
        <v>1021</v>
      </c>
    </row>
    <row r="659" spans="16:17" x14ac:dyDescent="0.25">
      <c r="P659" s="358" t="s">
        <v>258</v>
      </c>
      <c r="Q659" s="358" t="s">
        <v>1022</v>
      </c>
    </row>
    <row r="660" spans="16:17" x14ac:dyDescent="0.25">
      <c r="P660" s="358" t="s">
        <v>258</v>
      </c>
      <c r="Q660" s="358" t="s">
        <v>1165</v>
      </c>
    </row>
    <row r="661" spans="16:17" x14ac:dyDescent="0.25">
      <c r="P661" s="358" t="s">
        <v>258</v>
      </c>
      <c r="Q661" s="358" t="s">
        <v>1023</v>
      </c>
    </row>
    <row r="662" spans="16:17" x14ac:dyDescent="0.25">
      <c r="P662" s="358" t="s">
        <v>258</v>
      </c>
      <c r="Q662" s="358" t="s">
        <v>1024</v>
      </c>
    </row>
    <row r="663" spans="16:17" x14ac:dyDescent="0.25">
      <c r="P663" s="358" t="s">
        <v>258</v>
      </c>
      <c r="Q663" s="358" t="s">
        <v>1025</v>
      </c>
    </row>
    <row r="664" spans="16:17" x14ac:dyDescent="0.25">
      <c r="P664" s="358" t="s">
        <v>258</v>
      </c>
      <c r="Q664" s="358" t="s">
        <v>1026</v>
      </c>
    </row>
    <row r="665" spans="16:17" x14ac:dyDescent="0.25">
      <c r="P665" s="358" t="s">
        <v>258</v>
      </c>
      <c r="Q665" s="358" t="s">
        <v>1027</v>
      </c>
    </row>
    <row r="666" spans="16:17" x14ac:dyDescent="0.25">
      <c r="P666" s="358" t="s">
        <v>258</v>
      </c>
      <c r="Q666" s="358" t="s">
        <v>1028</v>
      </c>
    </row>
    <row r="667" spans="16:17" x14ac:dyDescent="0.25">
      <c r="P667" s="358" t="s">
        <v>258</v>
      </c>
      <c r="Q667" s="358" t="s">
        <v>1166</v>
      </c>
    </row>
    <row r="668" spans="16:17" x14ac:dyDescent="0.25">
      <c r="P668" s="358" t="s">
        <v>258</v>
      </c>
      <c r="Q668" s="358" t="s">
        <v>1167</v>
      </c>
    </row>
    <row r="669" spans="16:17" x14ac:dyDescent="0.25">
      <c r="P669" s="358" t="s">
        <v>258</v>
      </c>
      <c r="Q669" s="358" t="s">
        <v>706</v>
      </c>
    </row>
    <row r="670" spans="16:17" x14ac:dyDescent="0.25">
      <c r="P670" s="358" t="s">
        <v>258</v>
      </c>
      <c r="Q670" s="358" t="s">
        <v>1168</v>
      </c>
    </row>
    <row r="671" spans="16:17" x14ac:dyDescent="0.25">
      <c r="P671" s="358" t="s">
        <v>258</v>
      </c>
      <c r="Q671" s="358" t="s">
        <v>979</v>
      </c>
    </row>
    <row r="672" spans="16:17" x14ac:dyDescent="0.25">
      <c r="P672" s="358" t="s">
        <v>258</v>
      </c>
      <c r="Q672" s="358" t="s">
        <v>1169</v>
      </c>
    </row>
    <row r="673" spans="16:17" x14ac:dyDescent="0.25">
      <c r="P673" s="358" t="s">
        <v>258</v>
      </c>
      <c r="Q673" s="358" t="s">
        <v>980</v>
      </c>
    </row>
    <row r="674" spans="16:17" x14ac:dyDescent="0.25">
      <c r="P674" s="358" t="s">
        <v>258</v>
      </c>
      <c r="Q674" s="358" t="s">
        <v>981</v>
      </c>
    </row>
    <row r="675" spans="16:17" x14ac:dyDescent="0.25">
      <c r="P675" s="358" t="s">
        <v>258</v>
      </c>
      <c r="Q675" s="358" t="s">
        <v>982</v>
      </c>
    </row>
    <row r="676" spans="16:17" x14ac:dyDescent="0.25">
      <c r="P676" s="358" t="s">
        <v>258</v>
      </c>
      <c r="Q676" s="358" t="s">
        <v>983</v>
      </c>
    </row>
    <row r="677" spans="16:17" x14ac:dyDescent="0.25">
      <c r="P677" s="358" t="s">
        <v>258</v>
      </c>
      <c r="Q677" s="358" t="s">
        <v>709</v>
      </c>
    </row>
    <row r="678" spans="16:17" x14ac:dyDescent="0.25">
      <c r="P678" s="358" t="s">
        <v>258</v>
      </c>
      <c r="Q678" s="358" t="s">
        <v>710</v>
      </c>
    </row>
    <row r="679" spans="16:17" x14ac:dyDescent="0.25">
      <c r="P679" s="358" t="s">
        <v>258</v>
      </c>
      <c r="Q679" s="358" t="s">
        <v>984</v>
      </c>
    </row>
    <row r="680" spans="16:17" x14ac:dyDescent="0.25">
      <c r="P680" s="358" t="s">
        <v>258</v>
      </c>
      <c r="Q680" s="358" t="s">
        <v>985</v>
      </c>
    </row>
    <row r="681" spans="16:17" x14ac:dyDescent="0.25">
      <c r="P681" s="358" t="s">
        <v>258</v>
      </c>
      <c r="Q681" s="358" t="s">
        <v>712</v>
      </c>
    </row>
    <row r="682" spans="16:17" x14ac:dyDescent="0.25">
      <c r="P682" s="358" t="s">
        <v>258</v>
      </c>
      <c r="Q682" s="358" t="s">
        <v>986</v>
      </c>
    </row>
    <row r="683" spans="16:17" x14ac:dyDescent="0.25">
      <c r="P683" s="358" t="s">
        <v>258</v>
      </c>
      <c r="Q683" s="358" t="s">
        <v>1170</v>
      </c>
    </row>
    <row r="684" spans="16:17" x14ac:dyDescent="0.25">
      <c r="P684" s="358" t="s">
        <v>258</v>
      </c>
      <c r="Q684" s="358" t="s">
        <v>713</v>
      </c>
    </row>
    <row r="685" spans="16:17" x14ac:dyDescent="0.25">
      <c r="P685" s="358" t="s">
        <v>258</v>
      </c>
      <c r="Q685" s="358" t="s">
        <v>714</v>
      </c>
    </row>
    <row r="686" spans="16:17" x14ac:dyDescent="0.25">
      <c r="P686" s="358" t="s">
        <v>258</v>
      </c>
      <c r="Q686" s="358" t="s">
        <v>1171</v>
      </c>
    </row>
    <row r="687" spans="16:17" x14ac:dyDescent="0.25">
      <c r="P687" s="358" t="s">
        <v>258</v>
      </c>
      <c r="Q687" s="358" t="s">
        <v>716</v>
      </c>
    </row>
    <row r="688" spans="16:17" x14ac:dyDescent="0.25">
      <c r="P688" s="358" t="s">
        <v>258</v>
      </c>
      <c r="Q688" s="358" t="s">
        <v>987</v>
      </c>
    </row>
    <row r="689" spans="16:17" x14ac:dyDescent="0.25">
      <c r="P689" s="358" t="s">
        <v>258</v>
      </c>
      <c r="Q689" s="358" t="s">
        <v>1172</v>
      </c>
    </row>
    <row r="690" spans="16:17" x14ac:dyDescent="0.25">
      <c r="P690" s="358" t="s">
        <v>258</v>
      </c>
      <c r="Q690" s="358" t="s">
        <v>1173</v>
      </c>
    </row>
    <row r="691" spans="16:17" x14ac:dyDescent="0.25">
      <c r="P691" s="358" t="s">
        <v>258</v>
      </c>
      <c r="Q691" s="358" t="s">
        <v>717</v>
      </c>
    </row>
    <row r="692" spans="16:17" x14ac:dyDescent="0.25">
      <c r="P692" s="358" t="s">
        <v>258</v>
      </c>
      <c r="Q692" s="358" t="s">
        <v>988</v>
      </c>
    </row>
    <row r="693" spans="16:17" x14ac:dyDescent="0.25">
      <c r="P693" s="358" t="s">
        <v>258</v>
      </c>
      <c r="Q693" s="358" t="s">
        <v>989</v>
      </c>
    </row>
    <row r="694" spans="16:17" x14ac:dyDescent="0.25">
      <c r="P694" s="358" t="s">
        <v>258</v>
      </c>
      <c r="Q694" s="358" t="s">
        <v>990</v>
      </c>
    </row>
    <row r="695" spans="16:17" x14ac:dyDescent="0.25">
      <c r="P695" s="358" t="s">
        <v>258</v>
      </c>
      <c r="Q695" s="358" t="s">
        <v>991</v>
      </c>
    </row>
    <row r="696" spans="16:17" x14ac:dyDescent="0.25">
      <c r="P696" s="358" t="s">
        <v>258</v>
      </c>
      <c r="Q696" s="358" t="s">
        <v>978</v>
      </c>
    </row>
    <row r="697" spans="16:17" x14ac:dyDescent="0.25">
      <c r="P697" s="358" t="s">
        <v>258</v>
      </c>
      <c r="Q697" s="358" t="s">
        <v>773</v>
      </c>
    </row>
    <row r="698" spans="16:17" x14ac:dyDescent="0.25">
      <c r="P698" s="358" t="s">
        <v>258</v>
      </c>
      <c r="Q698" s="358" t="s">
        <v>1174</v>
      </c>
    </row>
    <row r="699" spans="16:17" x14ac:dyDescent="0.25">
      <c r="P699" s="358" t="s">
        <v>258</v>
      </c>
      <c r="Q699" s="358" t="s">
        <v>1175</v>
      </c>
    </row>
    <row r="700" spans="16:17" x14ac:dyDescent="0.25">
      <c r="P700" s="358" t="s">
        <v>258</v>
      </c>
      <c r="Q700" s="358" t="s">
        <v>782</v>
      </c>
    </row>
    <row r="701" spans="16:17" x14ac:dyDescent="0.25">
      <c r="P701" s="358" t="s">
        <v>258</v>
      </c>
      <c r="Q701" s="358" t="s">
        <v>1176</v>
      </c>
    </row>
    <row r="702" spans="16:17" x14ac:dyDescent="0.25">
      <c r="P702" s="358" t="s">
        <v>258</v>
      </c>
      <c r="Q702" s="358" t="s">
        <v>1177</v>
      </c>
    </row>
    <row r="703" spans="16:17" x14ac:dyDescent="0.25">
      <c r="P703" s="358" t="s">
        <v>258</v>
      </c>
      <c r="Q703" s="358" t="s">
        <v>1178</v>
      </c>
    </row>
    <row r="704" spans="16:17" x14ac:dyDescent="0.25">
      <c r="P704" s="358" t="s">
        <v>258</v>
      </c>
      <c r="Q704" s="358" t="s">
        <v>1179</v>
      </c>
    </row>
    <row r="705" spans="16:17" x14ac:dyDescent="0.25">
      <c r="P705" s="358" t="s">
        <v>258</v>
      </c>
      <c r="Q705" s="358" t="s">
        <v>1180</v>
      </c>
    </row>
    <row r="706" spans="16:17" x14ac:dyDescent="0.25">
      <c r="P706" s="358" t="s">
        <v>258</v>
      </c>
      <c r="Q706" s="358" t="s">
        <v>1181</v>
      </c>
    </row>
    <row r="707" spans="16:17" x14ac:dyDescent="0.25">
      <c r="P707" s="358" t="s">
        <v>258</v>
      </c>
      <c r="Q707" s="358" t="s">
        <v>200</v>
      </c>
    </row>
    <row r="708" spans="16:17" x14ac:dyDescent="0.25">
      <c r="P708" s="358" t="s">
        <v>258</v>
      </c>
      <c r="Q708" s="358" t="s">
        <v>948</v>
      </c>
    </row>
    <row r="709" spans="16:17" x14ac:dyDescent="0.25">
      <c r="P709" s="358" t="s">
        <v>258</v>
      </c>
      <c r="Q709" s="358" t="s">
        <v>784</v>
      </c>
    </row>
    <row r="710" spans="16:17" x14ac:dyDescent="0.25">
      <c r="P710" s="358" t="s">
        <v>258</v>
      </c>
      <c r="Q710" s="358" t="s">
        <v>949</v>
      </c>
    </row>
    <row r="711" spans="16:17" x14ac:dyDescent="0.25">
      <c r="P711" s="358" t="s">
        <v>258</v>
      </c>
      <c r="Q711" s="358" t="s">
        <v>1182</v>
      </c>
    </row>
    <row r="712" spans="16:17" x14ac:dyDescent="0.25">
      <c r="P712" s="358" t="s">
        <v>258</v>
      </c>
      <c r="Q712" s="358" t="s">
        <v>1183</v>
      </c>
    </row>
    <row r="713" spans="16:17" x14ac:dyDescent="0.25">
      <c r="P713" s="358" t="s">
        <v>258</v>
      </c>
      <c r="Q713" s="358" t="s">
        <v>950</v>
      </c>
    </row>
    <row r="714" spans="16:17" x14ac:dyDescent="0.25">
      <c r="P714" s="358" t="s">
        <v>258</v>
      </c>
      <c r="Q714" s="358" t="s">
        <v>1184</v>
      </c>
    </row>
    <row r="715" spans="16:17" x14ac:dyDescent="0.25">
      <c r="P715" s="358" t="s">
        <v>258</v>
      </c>
      <c r="Q715" s="358" t="s">
        <v>951</v>
      </c>
    </row>
    <row r="716" spans="16:17" x14ac:dyDescent="0.25">
      <c r="P716" s="358" t="s">
        <v>258</v>
      </c>
      <c r="Q716" s="358" t="s">
        <v>1185</v>
      </c>
    </row>
    <row r="717" spans="16:17" x14ac:dyDescent="0.25">
      <c r="P717" s="358" t="s">
        <v>258</v>
      </c>
      <c r="Q717" s="358" t="s">
        <v>952</v>
      </c>
    </row>
    <row r="718" spans="16:17" x14ac:dyDescent="0.25">
      <c r="P718" s="358" t="s">
        <v>258</v>
      </c>
      <c r="Q718" s="358" t="s">
        <v>1186</v>
      </c>
    </row>
    <row r="719" spans="16:17" x14ac:dyDescent="0.25">
      <c r="P719" s="358" t="s">
        <v>258</v>
      </c>
      <c r="Q719" s="358" t="s">
        <v>934</v>
      </c>
    </row>
    <row r="720" spans="16:17" x14ac:dyDescent="0.25">
      <c r="P720" s="358" t="s">
        <v>258</v>
      </c>
      <c r="Q720" s="358" t="s">
        <v>935</v>
      </c>
    </row>
    <row r="721" spans="16:17" x14ac:dyDescent="0.25">
      <c r="P721" s="358" t="s">
        <v>261</v>
      </c>
      <c r="Q721" s="359" t="s">
        <v>757</v>
      </c>
    </row>
    <row r="722" spans="16:17" x14ac:dyDescent="0.25">
      <c r="P722" s="358" t="s">
        <v>463</v>
      </c>
      <c r="Q722" s="358" t="s">
        <v>1085</v>
      </c>
    </row>
    <row r="723" spans="16:17" x14ac:dyDescent="0.25">
      <c r="P723" s="358" t="s">
        <v>264</v>
      </c>
      <c r="Q723" s="359" t="s">
        <v>757</v>
      </c>
    </row>
    <row r="724" spans="16:17" x14ac:dyDescent="0.25">
      <c r="P724" s="358" t="s">
        <v>475</v>
      </c>
      <c r="Q724" s="358" t="s">
        <v>1063</v>
      </c>
    </row>
    <row r="725" spans="16:17" x14ac:dyDescent="0.25">
      <c r="P725" s="358" t="s">
        <v>476</v>
      </c>
      <c r="Q725" s="358" t="s">
        <v>1063</v>
      </c>
    </row>
    <row r="726" spans="16:17" x14ac:dyDescent="0.25">
      <c r="P726" s="358" t="s">
        <v>477</v>
      </c>
      <c r="Q726" s="358" t="s">
        <v>1063</v>
      </c>
    </row>
    <row r="727" spans="16:17" x14ac:dyDescent="0.25">
      <c r="P727" s="358" t="s">
        <v>478</v>
      </c>
      <c r="Q727" s="358" t="s">
        <v>1063</v>
      </c>
    </row>
    <row r="728" spans="16:17" x14ac:dyDescent="0.25">
      <c r="P728" s="358" t="s">
        <v>466</v>
      </c>
      <c r="Q728" s="358" t="s">
        <v>1064</v>
      </c>
    </row>
    <row r="729" spans="16:17" x14ac:dyDescent="0.25">
      <c r="P729" s="358" t="s">
        <v>265</v>
      </c>
      <c r="Q729" s="358" t="s">
        <v>1065</v>
      </c>
    </row>
    <row r="730" spans="16:17" x14ac:dyDescent="0.25">
      <c r="P730" s="358" t="s">
        <v>265</v>
      </c>
      <c r="Q730" s="358" t="s">
        <v>855</v>
      </c>
    </row>
    <row r="731" spans="16:17" x14ac:dyDescent="0.25">
      <c r="P731" s="358" t="s">
        <v>265</v>
      </c>
      <c r="Q731" s="358" t="s">
        <v>1066</v>
      </c>
    </row>
    <row r="732" spans="16:17" x14ac:dyDescent="0.25">
      <c r="P732" s="358" t="s">
        <v>265</v>
      </c>
      <c r="Q732" s="358" t="s">
        <v>1067</v>
      </c>
    </row>
    <row r="733" spans="16:17" x14ac:dyDescent="0.25">
      <c r="P733" s="358" t="s">
        <v>265</v>
      </c>
      <c r="Q733" s="358" t="s">
        <v>856</v>
      </c>
    </row>
    <row r="734" spans="16:17" x14ac:dyDescent="0.25">
      <c r="P734" s="358" t="s">
        <v>265</v>
      </c>
      <c r="Q734" s="358" t="s">
        <v>857</v>
      </c>
    </row>
    <row r="735" spans="16:17" x14ac:dyDescent="0.25">
      <c r="P735" s="358" t="s">
        <v>265</v>
      </c>
      <c r="Q735" s="358" t="s">
        <v>1068</v>
      </c>
    </row>
    <row r="736" spans="16:17" x14ac:dyDescent="0.25">
      <c r="P736" s="358" t="s">
        <v>265</v>
      </c>
      <c r="Q736" s="358" t="s">
        <v>1069</v>
      </c>
    </row>
    <row r="737" spans="16:17" x14ac:dyDescent="0.25">
      <c r="P737" s="358" t="s">
        <v>265</v>
      </c>
      <c r="Q737" s="358" t="s">
        <v>1070</v>
      </c>
    </row>
    <row r="738" spans="16:17" x14ac:dyDescent="0.25">
      <c r="P738" s="358" t="s">
        <v>265</v>
      </c>
      <c r="Q738" s="358" t="s">
        <v>1071</v>
      </c>
    </row>
    <row r="739" spans="16:17" x14ac:dyDescent="0.25">
      <c r="P739" s="358" t="s">
        <v>265</v>
      </c>
      <c r="Q739" s="358" t="s">
        <v>858</v>
      </c>
    </row>
    <row r="740" spans="16:17" x14ac:dyDescent="0.25">
      <c r="P740" s="358" t="s">
        <v>265</v>
      </c>
      <c r="Q740" s="358" t="s">
        <v>1072</v>
      </c>
    </row>
    <row r="741" spans="16:17" x14ac:dyDescent="0.25">
      <c r="P741" s="358" t="s">
        <v>265</v>
      </c>
      <c r="Q741" s="358" t="s">
        <v>859</v>
      </c>
    </row>
    <row r="742" spans="16:17" x14ac:dyDescent="0.25">
      <c r="P742" s="358" t="s">
        <v>265</v>
      </c>
      <c r="Q742" s="358" t="s">
        <v>860</v>
      </c>
    </row>
    <row r="743" spans="16:17" x14ac:dyDescent="0.25">
      <c r="P743" s="358" t="s">
        <v>265</v>
      </c>
      <c r="Q743" s="358" t="s">
        <v>1073</v>
      </c>
    </row>
    <row r="744" spans="16:17" x14ac:dyDescent="0.25">
      <c r="P744" s="358" t="s">
        <v>265</v>
      </c>
      <c r="Q744" s="358" t="s">
        <v>1074</v>
      </c>
    </row>
    <row r="745" spans="16:17" x14ac:dyDescent="0.25">
      <c r="P745" s="358" t="s">
        <v>265</v>
      </c>
      <c r="Q745" s="358" t="s">
        <v>861</v>
      </c>
    </row>
    <row r="746" spans="16:17" x14ac:dyDescent="0.25">
      <c r="P746" s="358" t="s">
        <v>265</v>
      </c>
      <c r="Q746" s="358" t="s">
        <v>1075</v>
      </c>
    </row>
    <row r="747" spans="16:17" x14ac:dyDescent="0.25">
      <c r="P747" s="358" t="s">
        <v>265</v>
      </c>
      <c r="Q747" s="358" t="s">
        <v>1076</v>
      </c>
    </row>
    <row r="748" spans="16:17" x14ac:dyDescent="0.25">
      <c r="P748" s="358" t="s">
        <v>265</v>
      </c>
      <c r="Q748" s="358" t="s">
        <v>1077</v>
      </c>
    </row>
    <row r="749" spans="16:17" x14ac:dyDescent="0.25">
      <c r="P749" s="358" t="s">
        <v>265</v>
      </c>
      <c r="Q749" s="358" t="s">
        <v>1078</v>
      </c>
    </row>
    <row r="750" spans="16:17" x14ac:dyDescent="0.25">
      <c r="P750" s="358" t="s">
        <v>265</v>
      </c>
      <c r="Q750" s="358" t="s">
        <v>1079</v>
      </c>
    </row>
    <row r="751" spans="16:17" x14ac:dyDescent="0.25">
      <c r="P751" s="358" t="s">
        <v>265</v>
      </c>
      <c r="Q751" s="358" t="s">
        <v>862</v>
      </c>
    </row>
    <row r="752" spans="16:17" x14ac:dyDescent="0.25">
      <c r="P752" s="358" t="s">
        <v>265</v>
      </c>
      <c r="Q752" s="358" t="s">
        <v>1080</v>
      </c>
    </row>
    <row r="753" spans="16:17" x14ac:dyDescent="0.25">
      <c r="P753" s="358" t="s">
        <v>265</v>
      </c>
      <c r="Q753" s="358" t="s">
        <v>1081</v>
      </c>
    </row>
    <row r="754" spans="16:17" x14ac:dyDescent="0.25">
      <c r="P754" s="358" t="s">
        <v>265</v>
      </c>
      <c r="Q754" s="358" t="s">
        <v>863</v>
      </c>
    </row>
    <row r="755" spans="16:17" x14ac:dyDescent="0.25">
      <c r="P755" s="358" t="s">
        <v>265</v>
      </c>
      <c r="Q755" s="358" t="s">
        <v>1082</v>
      </c>
    </row>
    <row r="756" spans="16:17" x14ac:dyDescent="0.25">
      <c r="P756" s="358" t="s">
        <v>467</v>
      </c>
      <c r="Q756" s="358" t="s">
        <v>624</v>
      </c>
    </row>
    <row r="757" spans="16:17" x14ac:dyDescent="0.25">
      <c r="P757" s="358" t="s">
        <v>380</v>
      </c>
      <c r="Q757" s="358" t="s">
        <v>648</v>
      </c>
    </row>
    <row r="758" spans="16:17" x14ac:dyDescent="0.25">
      <c r="P758" s="358" t="s">
        <v>380</v>
      </c>
      <c r="Q758" s="358" t="s">
        <v>657</v>
      </c>
    </row>
    <row r="759" spans="16:17" x14ac:dyDescent="0.25">
      <c r="P759" s="358" t="s">
        <v>380</v>
      </c>
      <c r="Q759" s="358" t="s">
        <v>741</v>
      </c>
    </row>
    <row r="760" spans="16:17" x14ac:dyDescent="0.25">
      <c r="P760" s="358" t="s">
        <v>267</v>
      </c>
      <c r="Q760" s="358" t="s">
        <v>953</v>
      </c>
    </row>
    <row r="761" spans="16:17" x14ac:dyDescent="0.25">
      <c r="P761" s="358" t="s">
        <v>267</v>
      </c>
      <c r="Q761" s="358" t="s">
        <v>699</v>
      </c>
    </row>
    <row r="762" spans="16:17" x14ac:dyDescent="0.25">
      <c r="P762" s="358" t="s">
        <v>267</v>
      </c>
      <c r="Q762" s="358" t="s">
        <v>700</v>
      </c>
    </row>
    <row r="763" spans="16:17" x14ac:dyDescent="0.25">
      <c r="P763" s="358" t="s">
        <v>267</v>
      </c>
      <c r="Q763" s="358" t="s">
        <v>701</v>
      </c>
    </row>
    <row r="764" spans="16:17" x14ac:dyDescent="0.25">
      <c r="P764" s="358" t="s">
        <v>267</v>
      </c>
      <c r="Q764" s="358" t="s">
        <v>702</v>
      </c>
    </row>
    <row r="765" spans="16:17" x14ac:dyDescent="0.25">
      <c r="P765" s="358" t="s">
        <v>267</v>
      </c>
      <c r="Q765" s="358" t="s">
        <v>704</v>
      </c>
    </row>
    <row r="766" spans="16:17" x14ac:dyDescent="0.25">
      <c r="P766" s="358" t="s">
        <v>268</v>
      </c>
      <c r="Q766" s="358" t="s">
        <v>953</v>
      </c>
    </row>
    <row r="767" spans="16:17" x14ac:dyDescent="0.25">
      <c r="P767" s="358" t="s">
        <v>268</v>
      </c>
      <c r="Q767" s="358" t="s">
        <v>699</v>
      </c>
    </row>
    <row r="768" spans="16:17" x14ac:dyDescent="0.25">
      <c r="P768" s="358" t="s">
        <v>268</v>
      </c>
      <c r="Q768" s="358" t="s">
        <v>700</v>
      </c>
    </row>
    <row r="769" spans="16:17" x14ac:dyDescent="0.25">
      <c r="P769" s="358" t="s">
        <v>268</v>
      </c>
      <c r="Q769" s="358" t="s">
        <v>701</v>
      </c>
    </row>
    <row r="770" spans="16:17" x14ac:dyDescent="0.25">
      <c r="P770" s="358" t="s">
        <v>268</v>
      </c>
      <c r="Q770" s="358" t="s">
        <v>702</v>
      </c>
    </row>
    <row r="771" spans="16:17" x14ac:dyDescent="0.25">
      <c r="P771" s="358" t="s">
        <v>268</v>
      </c>
      <c r="Q771" s="358" t="s">
        <v>704</v>
      </c>
    </row>
    <row r="772" spans="16:17" x14ac:dyDescent="0.25">
      <c r="P772" s="358" t="s">
        <v>468</v>
      </c>
      <c r="Q772" s="358" t="s">
        <v>1083</v>
      </c>
    </row>
    <row r="773" spans="16:17" x14ac:dyDescent="0.25">
      <c r="P773" s="358" t="s">
        <v>469</v>
      </c>
      <c r="Q773" s="358" t="s">
        <v>1085</v>
      </c>
    </row>
    <row r="774" spans="16:17" x14ac:dyDescent="0.25">
      <c r="P774" s="358" t="s">
        <v>470</v>
      </c>
      <c r="Q774" s="358" t="s">
        <v>1086</v>
      </c>
    </row>
    <row r="775" spans="16:17" x14ac:dyDescent="0.25">
      <c r="P775" s="358" t="s">
        <v>472</v>
      </c>
      <c r="Q775" s="358" t="s">
        <v>1087</v>
      </c>
    </row>
    <row r="776" spans="16:17" x14ac:dyDescent="0.25">
      <c r="P776" s="358" t="s">
        <v>471</v>
      </c>
      <c r="Q776" s="358" t="s">
        <v>1087</v>
      </c>
    </row>
    <row r="777" spans="16:17" x14ac:dyDescent="0.25">
      <c r="P777" s="358" t="s">
        <v>474</v>
      </c>
      <c r="Q777" s="358" t="s">
        <v>1063</v>
      </c>
    </row>
    <row r="778" spans="16:17" x14ac:dyDescent="0.25">
      <c r="P778" s="358" t="s">
        <v>797</v>
      </c>
      <c r="Q778" s="358" t="s">
        <v>1063</v>
      </c>
    </row>
    <row r="779" spans="16:17" x14ac:dyDescent="0.25">
      <c r="P779" s="358" t="s">
        <v>473</v>
      </c>
      <c r="Q779" s="358" t="s">
        <v>1061</v>
      </c>
    </row>
    <row r="780" spans="16:17" x14ac:dyDescent="0.25">
      <c r="P780" s="358" t="s">
        <v>825</v>
      </c>
      <c r="Q780" s="358" t="s">
        <v>1061</v>
      </c>
    </row>
    <row r="781" spans="16:17" x14ac:dyDescent="0.25">
      <c r="P781" s="358" t="s">
        <v>269</v>
      </c>
      <c r="Q781" s="358" t="s">
        <v>718</v>
      </c>
    </row>
    <row r="782" spans="16:17" x14ac:dyDescent="0.25">
      <c r="P782" s="358" t="s">
        <v>269</v>
      </c>
      <c r="Q782" s="358" t="s">
        <v>1125</v>
      </c>
    </row>
    <row r="783" spans="16:17" x14ac:dyDescent="0.25">
      <c r="P783" s="358" t="s">
        <v>269</v>
      </c>
      <c r="Q783" s="358" t="s">
        <v>954</v>
      </c>
    </row>
    <row r="784" spans="16:17" x14ac:dyDescent="0.25">
      <c r="P784" s="358" t="s">
        <v>269</v>
      </c>
      <c r="Q784" s="358" t="s">
        <v>955</v>
      </c>
    </row>
    <row r="785" spans="16:17" x14ac:dyDescent="0.25">
      <c r="P785" s="358" t="s">
        <v>270</v>
      </c>
      <c r="Q785" s="358" t="s">
        <v>956</v>
      </c>
    </row>
    <row r="786" spans="16:17" x14ac:dyDescent="0.25">
      <c r="P786" s="358" t="s">
        <v>270</v>
      </c>
      <c r="Q786" s="358" t="s">
        <v>718</v>
      </c>
    </row>
    <row r="787" spans="16:17" x14ac:dyDescent="0.25">
      <c r="P787" s="358" t="s">
        <v>270</v>
      </c>
      <c r="Q787" s="358" t="s">
        <v>1125</v>
      </c>
    </row>
    <row r="788" spans="16:17" x14ac:dyDescent="0.25">
      <c r="P788" s="358" t="s">
        <v>270</v>
      </c>
      <c r="Q788" s="358" t="s">
        <v>954</v>
      </c>
    </row>
    <row r="789" spans="16:17" x14ac:dyDescent="0.25">
      <c r="P789" s="358" t="s">
        <v>270</v>
      </c>
      <c r="Q789" s="358" t="s">
        <v>955</v>
      </c>
    </row>
    <row r="790" spans="16:17" x14ac:dyDescent="0.25">
      <c r="P790" s="358" t="s">
        <v>479</v>
      </c>
      <c r="Q790" s="358" t="s">
        <v>1086</v>
      </c>
    </row>
    <row r="791" spans="16:17" x14ac:dyDescent="0.25">
      <c r="P791" s="358" t="s">
        <v>480</v>
      </c>
      <c r="Q791" s="358" t="s">
        <v>1089</v>
      </c>
    </row>
    <row r="792" spans="16:17" x14ac:dyDescent="0.25">
      <c r="P792" s="358" t="s">
        <v>381</v>
      </c>
      <c r="Q792" s="358" t="s">
        <v>577</v>
      </c>
    </row>
    <row r="793" spans="16:17" x14ac:dyDescent="0.25">
      <c r="P793" s="358" t="s">
        <v>381</v>
      </c>
      <c r="Q793" s="358" t="s">
        <v>578</v>
      </c>
    </row>
    <row r="794" spans="16:17" x14ac:dyDescent="0.25">
      <c r="P794" s="358" t="s">
        <v>381</v>
      </c>
      <c r="Q794" s="358" t="s">
        <v>871</v>
      </c>
    </row>
    <row r="795" spans="16:17" x14ac:dyDescent="0.25">
      <c r="P795" s="358" t="s">
        <v>381</v>
      </c>
      <c r="Q795" s="358" t="s">
        <v>872</v>
      </c>
    </row>
    <row r="796" spans="16:17" x14ac:dyDescent="0.25">
      <c r="P796" s="358" t="s">
        <v>381</v>
      </c>
      <c r="Q796" s="358" t="s">
        <v>873</v>
      </c>
    </row>
    <row r="797" spans="16:17" x14ac:dyDescent="0.25">
      <c r="P797" s="358" t="s">
        <v>381</v>
      </c>
      <c r="Q797" s="358" t="s">
        <v>874</v>
      </c>
    </row>
    <row r="798" spans="16:17" x14ac:dyDescent="0.25">
      <c r="P798" s="358" t="s">
        <v>381</v>
      </c>
      <c r="Q798" s="358" t="s">
        <v>875</v>
      </c>
    </row>
    <row r="799" spans="16:17" x14ac:dyDescent="0.25">
      <c r="P799" s="358" t="s">
        <v>381</v>
      </c>
      <c r="Q799" s="358" t="s">
        <v>876</v>
      </c>
    </row>
    <row r="800" spans="16:17" x14ac:dyDescent="0.25">
      <c r="P800" s="358" t="s">
        <v>381</v>
      </c>
      <c r="Q800" s="358" t="s">
        <v>877</v>
      </c>
    </row>
    <row r="801" spans="16:17" x14ac:dyDescent="0.25">
      <c r="P801" s="358" t="s">
        <v>381</v>
      </c>
      <c r="Q801" s="358" t="s">
        <v>580</v>
      </c>
    </row>
    <row r="802" spans="16:17" x14ac:dyDescent="0.25">
      <c r="P802" s="358" t="s">
        <v>381</v>
      </c>
      <c r="Q802" s="358" t="s">
        <v>581</v>
      </c>
    </row>
    <row r="803" spans="16:17" x14ac:dyDescent="0.25">
      <c r="P803" s="358" t="s">
        <v>381</v>
      </c>
      <c r="Q803" s="358" t="s">
        <v>1160</v>
      </c>
    </row>
    <row r="804" spans="16:17" x14ac:dyDescent="0.25">
      <c r="P804" s="358" t="s">
        <v>381</v>
      </c>
      <c r="Q804" s="358" t="s">
        <v>1161</v>
      </c>
    </row>
    <row r="805" spans="16:17" x14ac:dyDescent="0.25">
      <c r="P805" s="358" t="s">
        <v>481</v>
      </c>
      <c r="Q805" s="358" t="s">
        <v>1090</v>
      </c>
    </row>
    <row r="806" spans="16:17" x14ac:dyDescent="0.25">
      <c r="P806" s="358" t="s">
        <v>185</v>
      </c>
      <c r="Q806" s="358" t="s">
        <v>185</v>
      </c>
    </row>
    <row r="807" spans="16:17" x14ac:dyDescent="0.25">
      <c r="P807" s="358" t="s">
        <v>482</v>
      </c>
      <c r="Q807" s="358" t="s">
        <v>1091</v>
      </c>
    </row>
    <row r="808" spans="16:17" x14ac:dyDescent="0.25">
      <c r="P808" s="358" t="s">
        <v>271</v>
      </c>
      <c r="Q808" s="358" t="s">
        <v>638</v>
      </c>
    </row>
    <row r="809" spans="16:17" x14ac:dyDescent="0.25">
      <c r="P809" s="358" t="s">
        <v>271</v>
      </c>
      <c r="Q809" s="358" t="s">
        <v>639</v>
      </c>
    </row>
    <row r="810" spans="16:17" x14ac:dyDescent="0.25">
      <c r="P810" s="358" t="s">
        <v>271</v>
      </c>
      <c r="Q810" s="358" t="s">
        <v>641</v>
      </c>
    </row>
    <row r="811" spans="16:17" x14ac:dyDescent="0.25">
      <c r="P811" s="358" t="s">
        <v>272</v>
      </c>
      <c r="Q811" s="358" t="s">
        <v>638</v>
      </c>
    </row>
    <row r="812" spans="16:17" x14ac:dyDescent="0.25">
      <c r="P812" s="358" t="s">
        <v>272</v>
      </c>
      <c r="Q812" s="358" t="s">
        <v>639</v>
      </c>
    </row>
    <row r="813" spans="16:17" x14ac:dyDescent="0.25">
      <c r="P813" s="358" t="s">
        <v>272</v>
      </c>
      <c r="Q813" s="358" t="s">
        <v>641</v>
      </c>
    </row>
    <row r="814" spans="16:17" x14ac:dyDescent="0.25">
      <c r="P814" s="358" t="s">
        <v>798</v>
      </c>
      <c r="Q814" s="358" t="s">
        <v>1086</v>
      </c>
    </row>
    <row r="815" spans="16:17" x14ac:dyDescent="0.25">
      <c r="P815" s="358" t="s">
        <v>799</v>
      </c>
      <c r="Q815" s="358" t="s">
        <v>1086</v>
      </c>
    </row>
    <row r="816" spans="16:17" x14ac:dyDescent="0.25">
      <c r="P816" s="358" t="s">
        <v>800</v>
      </c>
      <c r="Q816" s="358" t="s">
        <v>1086</v>
      </c>
    </row>
    <row r="817" spans="16:17" x14ac:dyDescent="0.25">
      <c r="P817" s="358" t="s">
        <v>483</v>
      </c>
      <c r="Q817" s="358" t="s">
        <v>1086</v>
      </c>
    </row>
    <row r="818" spans="16:17" x14ac:dyDescent="0.25">
      <c r="P818" s="358" t="s">
        <v>273</v>
      </c>
      <c r="Q818" s="358" t="s">
        <v>705</v>
      </c>
    </row>
    <row r="819" spans="16:17" x14ac:dyDescent="0.25">
      <c r="P819" s="358" t="s">
        <v>273</v>
      </c>
      <c r="Q819" s="358" t="s">
        <v>707</v>
      </c>
    </row>
    <row r="820" spans="16:17" x14ac:dyDescent="0.25">
      <c r="P820" s="358" t="s">
        <v>273</v>
      </c>
      <c r="Q820" s="358" t="s">
        <v>708</v>
      </c>
    </row>
    <row r="821" spans="16:17" x14ac:dyDescent="0.25">
      <c r="P821" s="358" t="s">
        <v>273</v>
      </c>
      <c r="Q821" s="358" t="s">
        <v>710</v>
      </c>
    </row>
    <row r="822" spans="16:17" x14ac:dyDescent="0.25">
      <c r="P822" s="358" t="s">
        <v>273</v>
      </c>
      <c r="Q822" s="358" t="s">
        <v>712</v>
      </c>
    </row>
    <row r="823" spans="16:17" x14ac:dyDescent="0.25">
      <c r="P823" s="358" t="s">
        <v>273</v>
      </c>
      <c r="Q823" s="358" t="s">
        <v>714</v>
      </c>
    </row>
    <row r="824" spans="16:17" x14ac:dyDescent="0.25">
      <c r="P824" s="358" t="s">
        <v>273</v>
      </c>
      <c r="Q824" s="358" t="s">
        <v>715</v>
      </c>
    </row>
    <row r="825" spans="16:17" x14ac:dyDescent="0.25">
      <c r="P825" s="358" t="s">
        <v>273</v>
      </c>
      <c r="Q825" s="358" t="s">
        <v>716</v>
      </c>
    </row>
    <row r="826" spans="16:17" x14ac:dyDescent="0.25">
      <c r="P826" s="358" t="s">
        <v>273</v>
      </c>
      <c r="Q826" s="358" t="s">
        <v>717</v>
      </c>
    </row>
    <row r="827" spans="16:17" x14ac:dyDescent="0.25">
      <c r="P827" s="358" t="s">
        <v>273</v>
      </c>
      <c r="Q827" s="358" t="s">
        <v>752</v>
      </c>
    </row>
    <row r="828" spans="16:17" x14ac:dyDescent="0.25">
      <c r="P828" s="358" t="s">
        <v>273</v>
      </c>
      <c r="Q828" s="358" t="s">
        <v>753</v>
      </c>
    </row>
    <row r="829" spans="16:17" x14ac:dyDescent="0.25">
      <c r="P829" s="358" t="s">
        <v>273</v>
      </c>
      <c r="Q829" s="358" t="s">
        <v>754</v>
      </c>
    </row>
    <row r="830" spans="16:17" x14ac:dyDescent="0.25">
      <c r="P830" s="358" t="s">
        <v>273</v>
      </c>
      <c r="Q830" s="358" t="s">
        <v>755</v>
      </c>
    </row>
    <row r="831" spans="16:17" x14ac:dyDescent="0.25">
      <c r="P831" s="358" t="s">
        <v>274</v>
      </c>
      <c r="Q831" s="358" t="s">
        <v>705</v>
      </c>
    </row>
    <row r="832" spans="16:17" x14ac:dyDescent="0.25">
      <c r="P832" s="358" t="s">
        <v>274</v>
      </c>
      <c r="Q832" s="358" t="s">
        <v>707</v>
      </c>
    </row>
    <row r="833" spans="16:17" x14ac:dyDescent="0.25">
      <c r="P833" s="358" t="s">
        <v>274</v>
      </c>
      <c r="Q833" s="358" t="s">
        <v>708</v>
      </c>
    </row>
    <row r="834" spans="16:17" x14ac:dyDescent="0.25">
      <c r="P834" s="358" t="s">
        <v>274</v>
      </c>
      <c r="Q834" s="358" t="s">
        <v>710</v>
      </c>
    </row>
    <row r="835" spans="16:17" x14ac:dyDescent="0.25">
      <c r="P835" s="358" t="s">
        <v>274</v>
      </c>
      <c r="Q835" s="358" t="s">
        <v>711</v>
      </c>
    </row>
    <row r="836" spans="16:17" x14ac:dyDescent="0.25">
      <c r="P836" s="358" t="s">
        <v>274</v>
      </c>
      <c r="Q836" s="358" t="s">
        <v>712</v>
      </c>
    </row>
    <row r="837" spans="16:17" x14ac:dyDescent="0.25">
      <c r="P837" s="358" t="s">
        <v>274</v>
      </c>
      <c r="Q837" s="358" t="s">
        <v>714</v>
      </c>
    </row>
    <row r="838" spans="16:17" x14ac:dyDescent="0.25">
      <c r="P838" s="358" t="s">
        <v>274</v>
      </c>
      <c r="Q838" s="358" t="s">
        <v>715</v>
      </c>
    </row>
    <row r="839" spans="16:17" x14ac:dyDescent="0.25">
      <c r="P839" s="358" t="s">
        <v>274</v>
      </c>
      <c r="Q839" s="358" t="s">
        <v>716</v>
      </c>
    </row>
    <row r="840" spans="16:17" x14ac:dyDescent="0.25">
      <c r="P840" s="358" t="s">
        <v>274</v>
      </c>
      <c r="Q840" s="358" t="s">
        <v>717</v>
      </c>
    </row>
    <row r="841" spans="16:17" x14ac:dyDescent="0.25">
      <c r="P841" s="358" t="s">
        <v>382</v>
      </c>
      <c r="Q841" s="358" t="s">
        <v>649</v>
      </c>
    </row>
    <row r="842" spans="16:17" x14ac:dyDescent="0.25">
      <c r="P842" s="358" t="s">
        <v>383</v>
      </c>
      <c r="Q842" s="358" t="s">
        <v>602</v>
      </c>
    </row>
    <row r="843" spans="16:17" x14ac:dyDescent="0.25">
      <c r="P843" s="358" t="s">
        <v>383</v>
      </c>
      <c r="Q843" s="358" t="s">
        <v>878</v>
      </c>
    </row>
    <row r="844" spans="16:17" x14ac:dyDescent="0.25">
      <c r="P844" s="358" t="s">
        <v>383</v>
      </c>
      <c r="Q844" s="358" t="s">
        <v>660</v>
      </c>
    </row>
    <row r="845" spans="16:17" x14ac:dyDescent="0.25">
      <c r="P845" s="358" t="s">
        <v>384</v>
      </c>
      <c r="Q845" s="358" t="s">
        <v>586</v>
      </c>
    </row>
    <row r="846" spans="16:17" x14ac:dyDescent="0.25">
      <c r="P846" s="358" t="s">
        <v>384</v>
      </c>
      <c r="Q846" s="358" t="s">
        <v>602</v>
      </c>
    </row>
    <row r="847" spans="16:17" x14ac:dyDescent="0.25">
      <c r="P847" s="358" t="s">
        <v>384</v>
      </c>
      <c r="Q847" s="358" t="s">
        <v>878</v>
      </c>
    </row>
    <row r="848" spans="16:17" x14ac:dyDescent="0.25">
      <c r="P848" s="358" t="s">
        <v>384</v>
      </c>
      <c r="Q848" s="358" t="s">
        <v>660</v>
      </c>
    </row>
    <row r="849" spans="16:17" x14ac:dyDescent="0.25">
      <c r="P849" s="358" t="s">
        <v>384</v>
      </c>
      <c r="Q849" s="358" t="s">
        <v>728</v>
      </c>
    </row>
    <row r="850" spans="16:17" x14ac:dyDescent="0.25">
      <c r="P850" s="358" t="s">
        <v>275</v>
      </c>
      <c r="Q850" s="358" t="s">
        <v>575</v>
      </c>
    </row>
    <row r="851" spans="16:17" x14ac:dyDescent="0.25">
      <c r="P851" s="358" t="s">
        <v>275</v>
      </c>
      <c r="Q851" s="358" t="s">
        <v>645</v>
      </c>
    </row>
    <row r="852" spans="16:17" x14ac:dyDescent="0.25">
      <c r="P852" s="358" t="s">
        <v>275</v>
      </c>
      <c r="Q852" s="358" t="s">
        <v>177</v>
      </c>
    </row>
    <row r="853" spans="16:17" x14ac:dyDescent="0.25">
      <c r="P853" s="367" t="s">
        <v>275</v>
      </c>
      <c r="Q853" s="367" t="s">
        <v>649</v>
      </c>
    </row>
    <row r="854" spans="16:17" x14ac:dyDescent="0.25">
      <c r="P854" s="358" t="s">
        <v>276</v>
      </c>
      <c r="Q854" s="358" t="s">
        <v>774</v>
      </c>
    </row>
    <row r="855" spans="16:17" x14ac:dyDescent="0.25">
      <c r="P855" s="358" t="s">
        <v>276</v>
      </c>
      <c r="Q855" s="358" t="s">
        <v>957</v>
      </c>
    </row>
    <row r="856" spans="16:17" x14ac:dyDescent="0.25">
      <c r="P856" s="358" t="s">
        <v>276</v>
      </c>
      <c r="Q856" s="358" t="s">
        <v>775</v>
      </c>
    </row>
    <row r="857" spans="16:17" x14ac:dyDescent="0.25">
      <c r="P857" s="358" t="s">
        <v>276</v>
      </c>
      <c r="Q857" s="358" t="s">
        <v>958</v>
      </c>
    </row>
    <row r="858" spans="16:17" x14ac:dyDescent="0.25">
      <c r="P858" s="358" t="s">
        <v>276</v>
      </c>
      <c r="Q858" s="358" t="s">
        <v>959</v>
      </c>
    </row>
    <row r="859" spans="16:17" x14ac:dyDescent="0.25">
      <c r="P859" s="358" t="s">
        <v>276</v>
      </c>
      <c r="Q859" s="358" t="s">
        <v>960</v>
      </c>
    </row>
    <row r="860" spans="16:17" x14ac:dyDescent="0.25">
      <c r="P860" s="358" t="s">
        <v>276</v>
      </c>
      <c r="Q860" s="358" t="s">
        <v>961</v>
      </c>
    </row>
    <row r="861" spans="16:17" x14ac:dyDescent="0.25">
      <c r="P861" s="358" t="s">
        <v>276</v>
      </c>
      <c r="Q861" s="358" t="s">
        <v>962</v>
      </c>
    </row>
    <row r="862" spans="16:17" x14ac:dyDescent="0.25">
      <c r="P862" s="358" t="s">
        <v>276</v>
      </c>
      <c r="Q862" s="358" t="s">
        <v>963</v>
      </c>
    </row>
    <row r="863" spans="16:17" x14ac:dyDescent="0.25">
      <c r="P863" s="358" t="s">
        <v>276</v>
      </c>
      <c r="Q863" s="358" t="s">
        <v>776</v>
      </c>
    </row>
    <row r="864" spans="16:17" x14ac:dyDescent="0.25">
      <c r="P864" s="358" t="s">
        <v>276</v>
      </c>
      <c r="Q864" s="358" t="s">
        <v>196</v>
      </c>
    </row>
    <row r="865" spans="16:17" x14ac:dyDescent="0.25">
      <c r="P865" s="358" t="s">
        <v>276</v>
      </c>
      <c r="Q865" s="358" t="s">
        <v>964</v>
      </c>
    </row>
    <row r="866" spans="16:17" x14ac:dyDescent="0.25">
      <c r="P866" s="358" t="s">
        <v>276</v>
      </c>
      <c r="Q866" s="358" t="s">
        <v>965</v>
      </c>
    </row>
    <row r="867" spans="16:17" x14ac:dyDescent="0.25">
      <c r="P867" s="358" t="s">
        <v>276</v>
      </c>
      <c r="Q867" s="358" t="s">
        <v>966</v>
      </c>
    </row>
    <row r="868" spans="16:17" x14ac:dyDescent="0.25">
      <c r="P868" s="358" t="s">
        <v>277</v>
      </c>
      <c r="Q868" s="358" t="s">
        <v>774</v>
      </c>
    </row>
    <row r="869" spans="16:17" x14ac:dyDescent="0.25">
      <c r="P869" s="358" t="s">
        <v>277</v>
      </c>
      <c r="Q869" s="358" t="s">
        <v>957</v>
      </c>
    </row>
    <row r="870" spans="16:17" x14ac:dyDescent="0.25">
      <c r="P870" s="358" t="s">
        <v>277</v>
      </c>
      <c r="Q870" s="358" t="s">
        <v>775</v>
      </c>
    </row>
    <row r="871" spans="16:17" x14ac:dyDescent="0.25">
      <c r="P871" s="358" t="s">
        <v>277</v>
      </c>
      <c r="Q871" s="358" t="s">
        <v>958</v>
      </c>
    </row>
    <row r="872" spans="16:17" x14ac:dyDescent="0.25">
      <c r="P872" s="358" t="s">
        <v>277</v>
      </c>
      <c r="Q872" s="358" t="s">
        <v>959</v>
      </c>
    </row>
    <row r="873" spans="16:17" x14ac:dyDescent="0.25">
      <c r="P873" s="358" t="s">
        <v>277</v>
      </c>
      <c r="Q873" s="358" t="s">
        <v>960</v>
      </c>
    </row>
    <row r="874" spans="16:17" x14ac:dyDescent="0.25">
      <c r="P874" s="358" t="s">
        <v>277</v>
      </c>
      <c r="Q874" s="358" t="s">
        <v>961</v>
      </c>
    </row>
    <row r="875" spans="16:17" x14ac:dyDescent="0.25">
      <c r="P875" s="358" t="s">
        <v>277</v>
      </c>
      <c r="Q875" s="358" t="s">
        <v>962</v>
      </c>
    </row>
    <row r="876" spans="16:17" x14ac:dyDescent="0.25">
      <c r="P876" s="358" t="s">
        <v>277</v>
      </c>
      <c r="Q876" s="358" t="s">
        <v>963</v>
      </c>
    </row>
    <row r="877" spans="16:17" x14ac:dyDescent="0.25">
      <c r="P877" s="358" t="s">
        <v>277</v>
      </c>
      <c r="Q877" s="358" t="s">
        <v>776</v>
      </c>
    </row>
    <row r="878" spans="16:17" x14ac:dyDescent="0.25">
      <c r="P878" s="358" t="s">
        <v>277</v>
      </c>
      <c r="Q878" s="358" t="s">
        <v>196</v>
      </c>
    </row>
    <row r="879" spans="16:17" x14ac:dyDescent="0.25">
      <c r="P879" s="358" t="s">
        <v>277</v>
      </c>
      <c r="Q879" s="358" t="s">
        <v>964</v>
      </c>
    </row>
    <row r="880" spans="16:17" x14ac:dyDescent="0.25">
      <c r="P880" s="358" t="s">
        <v>277</v>
      </c>
      <c r="Q880" s="358" t="s">
        <v>965</v>
      </c>
    </row>
    <row r="881" spans="16:17" x14ac:dyDescent="0.25">
      <c r="P881" s="358" t="s">
        <v>277</v>
      </c>
      <c r="Q881" s="358" t="s">
        <v>966</v>
      </c>
    </row>
    <row r="882" spans="16:17" x14ac:dyDescent="0.25">
      <c r="P882" s="358" t="s">
        <v>277</v>
      </c>
      <c r="Q882" s="358" t="s">
        <v>198</v>
      </c>
    </row>
    <row r="883" spans="16:17" x14ac:dyDescent="0.25">
      <c r="P883" s="358" t="s">
        <v>277</v>
      </c>
      <c r="Q883" s="358" t="s">
        <v>967</v>
      </c>
    </row>
    <row r="884" spans="16:17" x14ac:dyDescent="0.25">
      <c r="P884" s="358" t="s">
        <v>277</v>
      </c>
      <c r="Q884" s="358" t="s">
        <v>778</v>
      </c>
    </row>
    <row r="885" spans="16:17" x14ac:dyDescent="0.25">
      <c r="P885" s="358" t="s">
        <v>277</v>
      </c>
      <c r="Q885" s="358" t="s">
        <v>968</v>
      </c>
    </row>
    <row r="886" spans="16:17" x14ac:dyDescent="0.25">
      <c r="P886" s="358" t="s">
        <v>277</v>
      </c>
      <c r="Q886" s="358" t="s">
        <v>969</v>
      </c>
    </row>
    <row r="887" spans="16:17" x14ac:dyDescent="0.25">
      <c r="P887" s="358" t="s">
        <v>277</v>
      </c>
      <c r="Q887" s="358" t="s">
        <v>970</v>
      </c>
    </row>
    <row r="888" spans="16:17" x14ac:dyDescent="0.25">
      <c r="P888" s="358" t="s">
        <v>277</v>
      </c>
      <c r="Q888" s="358" t="s">
        <v>971</v>
      </c>
    </row>
    <row r="889" spans="16:17" x14ac:dyDescent="0.25">
      <c r="P889" s="358" t="s">
        <v>277</v>
      </c>
      <c r="Q889" s="358" t="s">
        <v>972</v>
      </c>
    </row>
    <row r="890" spans="16:17" x14ac:dyDescent="0.25">
      <c r="P890" s="358" t="s">
        <v>277</v>
      </c>
      <c r="Q890" s="358" t="s">
        <v>973</v>
      </c>
    </row>
    <row r="891" spans="16:17" x14ac:dyDescent="0.25">
      <c r="P891" s="358" t="s">
        <v>277</v>
      </c>
      <c r="Q891" s="358" t="s">
        <v>779</v>
      </c>
    </row>
    <row r="892" spans="16:17" x14ac:dyDescent="0.25">
      <c r="P892" s="358" t="s">
        <v>277</v>
      </c>
      <c r="Q892" s="358" t="s">
        <v>780</v>
      </c>
    </row>
    <row r="893" spans="16:17" x14ac:dyDescent="0.25">
      <c r="P893" s="358" t="s">
        <v>277</v>
      </c>
      <c r="Q893" s="358" t="s">
        <v>974</v>
      </c>
    </row>
    <row r="894" spans="16:17" x14ac:dyDescent="0.25">
      <c r="P894" s="358" t="s">
        <v>277</v>
      </c>
      <c r="Q894" s="358" t="s">
        <v>975</v>
      </c>
    </row>
    <row r="895" spans="16:17" x14ac:dyDescent="0.25">
      <c r="P895" s="358" t="s">
        <v>277</v>
      </c>
      <c r="Q895" s="358" t="s">
        <v>976</v>
      </c>
    </row>
    <row r="896" spans="16:17" x14ac:dyDescent="0.25">
      <c r="P896" s="358" t="s">
        <v>484</v>
      </c>
      <c r="Q896" s="358" t="s">
        <v>1092</v>
      </c>
    </row>
    <row r="897" spans="16:17" x14ac:dyDescent="0.25">
      <c r="P897" s="358" t="s">
        <v>282</v>
      </c>
      <c r="Q897" s="367" t="s">
        <v>757</v>
      </c>
    </row>
    <row r="898" spans="16:17" x14ac:dyDescent="0.25">
      <c r="P898" s="358" t="s">
        <v>283</v>
      </c>
      <c r="Q898" s="358" t="s">
        <v>747</v>
      </c>
    </row>
    <row r="899" spans="16:17" x14ac:dyDescent="0.25">
      <c r="P899" s="358" t="s">
        <v>283</v>
      </c>
      <c r="Q899" s="358" t="s">
        <v>750</v>
      </c>
    </row>
    <row r="900" spans="16:17" x14ac:dyDescent="0.25">
      <c r="P900" s="358" t="s">
        <v>283</v>
      </c>
      <c r="Q900" s="358" t="s">
        <v>757</v>
      </c>
    </row>
    <row r="901" spans="16:17" x14ac:dyDescent="0.25">
      <c r="P901" s="358" t="s">
        <v>283</v>
      </c>
      <c r="Q901" s="358" t="s">
        <v>760</v>
      </c>
    </row>
    <row r="902" spans="16:17" x14ac:dyDescent="0.25">
      <c r="P902" s="358" t="s">
        <v>283</v>
      </c>
      <c r="Q902" s="358" t="s">
        <v>763</v>
      </c>
    </row>
    <row r="903" spans="16:17" x14ac:dyDescent="0.25">
      <c r="P903" s="358" t="s">
        <v>284</v>
      </c>
      <c r="Q903" s="367" t="s">
        <v>757</v>
      </c>
    </row>
    <row r="904" spans="16:17" x14ac:dyDescent="0.25">
      <c r="P904" s="358" t="s">
        <v>280</v>
      </c>
      <c r="Q904" s="358" t="s">
        <v>709</v>
      </c>
    </row>
    <row r="905" spans="16:17" x14ac:dyDescent="0.25">
      <c r="P905" s="358" t="s">
        <v>280</v>
      </c>
      <c r="Q905" s="358" t="s">
        <v>713</v>
      </c>
    </row>
    <row r="906" spans="16:17" x14ac:dyDescent="0.25">
      <c r="P906" s="358" t="s">
        <v>281</v>
      </c>
      <c r="Q906" s="358" t="s">
        <v>200</v>
      </c>
    </row>
    <row r="907" spans="16:17" x14ac:dyDescent="0.25">
      <c r="P907" s="358" t="s">
        <v>281</v>
      </c>
      <c r="Q907" s="358" t="s">
        <v>784</v>
      </c>
    </row>
    <row r="908" spans="16:17" x14ac:dyDescent="0.25">
      <c r="P908" s="358" t="s">
        <v>278</v>
      </c>
      <c r="Q908" s="358" t="s">
        <v>904</v>
      </c>
    </row>
    <row r="909" spans="16:17" x14ac:dyDescent="0.25">
      <c r="P909" s="358" t="s">
        <v>278</v>
      </c>
      <c r="Q909" s="358" t="s">
        <v>905</v>
      </c>
    </row>
    <row r="910" spans="16:17" x14ac:dyDescent="0.25">
      <c r="P910" s="358" t="s">
        <v>278</v>
      </c>
      <c r="Q910" s="358" t="s">
        <v>1166</v>
      </c>
    </row>
    <row r="911" spans="16:17" x14ac:dyDescent="0.25">
      <c r="P911" s="358" t="s">
        <v>278</v>
      </c>
      <c r="Q911" s="358" t="s">
        <v>1167</v>
      </c>
    </row>
    <row r="912" spans="16:17" x14ac:dyDescent="0.25">
      <c r="P912" s="358" t="s">
        <v>278</v>
      </c>
      <c r="Q912" s="358" t="s">
        <v>977</v>
      </c>
    </row>
    <row r="913" spans="16:17" x14ac:dyDescent="0.25">
      <c r="P913" s="358" t="s">
        <v>278</v>
      </c>
      <c r="Q913" s="358" t="s">
        <v>706</v>
      </c>
    </row>
    <row r="914" spans="16:17" x14ac:dyDescent="0.25">
      <c r="P914" s="358" t="s">
        <v>278</v>
      </c>
      <c r="Q914" s="358" t="s">
        <v>1168</v>
      </c>
    </row>
    <row r="915" spans="16:17" x14ac:dyDescent="0.25">
      <c r="P915" s="358" t="s">
        <v>278</v>
      </c>
      <c r="Q915" s="358" t="s">
        <v>979</v>
      </c>
    </row>
    <row r="916" spans="16:17" x14ac:dyDescent="0.25">
      <c r="P916" s="358" t="s">
        <v>278</v>
      </c>
      <c r="Q916" s="358" t="s">
        <v>1169</v>
      </c>
    </row>
    <row r="917" spans="16:17" x14ac:dyDescent="0.25">
      <c r="P917" s="358" t="s">
        <v>278</v>
      </c>
      <c r="Q917" s="358" t="s">
        <v>980</v>
      </c>
    </row>
    <row r="918" spans="16:17" x14ac:dyDescent="0.25">
      <c r="P918" s="358" t="s">
        <v>278</v>
      </c>
      <c r="Q918" s="358" t="s">
        <v>981</v>
      </c>
    </row>
    <row r="919" spans="16:17" x14ac:dyDescent="0.25">
      <c r="P919" s="358" t="s">
        <v>278</v>
      </c>
      <c r="Q919" s="358" t="s">
        <v>982</v>
      </c>
    </row>
    <row r="920" spans="16:17" x14ac:dyDescent="0.25">
      <c r="P920" s="358" t="s">
        <v>278</v>
      </c>
      <c r="Q920" s="358" t="s">
        <v>983</v>
      </c>
    </row>
    <row r="921" spans="16:17" x14ac:dyDescent="0.25">
      <c r="P921" s="358" t="s">
        <v>278</v>
      </c>
      <c r="Q921" s="358" t="s">
        <v>709</v>
      </c>
    </row>
    <row r="922" spans="16:17" x14ac:dyDescent="0.25">
      <c r="P922" s="358" t="s">
        <v>278</v>
      </c>
      <c r="Q922" s="358" t="s">
        <v>710</v>
      </c>
    </row>
    <row r="923" spans="16:17" x14ac:dyDescent="0.25">
      <c r="P923" s="358" t="s">
        <v>278</v>
      </c>
      <c r="Q923" s="358" t="s">
        <v>984</v>
      </c>
    </row>
    <row r="924" spans="16:17" x14ac:dyDescent="0.25">
      <c r="P924" s="358" t="s">
        <v>278</v>
      </c>
      <c r="Q924" s="358" t="s">
        <v>985</v>
      </c>
    </row>
    <row r="925" spans="16:17" x14ac:dyDescent="0.25">
      <c r="P925" s="358" t="s">
        <v>278</v>
      </c>
      <c r="Q925" s="358" t="s">
        <v>712</v>
      </c>
    </row>
    <row r="926" spans="16:17" x14ac:dyDescent="0.25">
      <c r="P926" s="358" t="s">
        <v>278</v>
      </c>
      <c r="Q926" s="358" t="s">
        <v>986</v>
      </c>
    </row>
    <row r="927" spans="16:17" x14ac:dyDescent="0.25">
      <c r="P927" s="358" t="s">
        <v>278</v>
      </c>
      <c r="Q927" s="358" t="s">
        <v>1170</v>
      </c>
    </row>
    <row r="928" spans="16:17" x14ac:dyDescent="0.25">
      <c r="P928" s="358" t="s">
        <v>278</v>
      </c>
      <c r="Q928" s="358" t="s">
        <v>713</v>
      </c>
    </row>
    <row r="929" spans="16:17" x14ac:dyDescent="0.25">
      <c r="P929" s="358" t="s">
        <v>278</v>
      </c>
      <c r="Q929" s="358" t="s">
        <v>714</v>
      </c>
    </row>
    <row r="930" spans="16:17" x14ac:dyDescent="0.25">
      <c r="P930" s="358" t="s">
        <v>278</v>
      </c>
      <c r="Q930" s="358" t="s">
        <v>1171</v>
      </c>
    </row>
    <row r="931" spans="16:17" x14ac:dyDescent="0.25">
      <c r="P931" s="358" t="s">
        <v>278</v>
      </c>
      <c r="Q931" s="358" t="s">
        <v>716</v>
      </c>
    </row>
    <row r="932" spans="16:17" x14ac:dyDescent="0.25">
      <c r="P932" s="358" t="s">
        <v>278</v>
      </c>
      <c r="Q932" s="358" t="s">
        <v>987</v>
      </c>
    </row>
    <row r="933" spans="16:17" x14ac:dyDescent="0.25">
      <c r="P933" s="358" t="s">
        <v>278</v>
      </c>
      <c r="Q933" s="358" t="s">
        <v>1172</v>
      </c>
    </row>
    <row r="934" spans="16:17" x14ac:dyDescent="0.25">
      <c r="P934" s="358" t="s">
        <v>278</v>
      </c>
      <c r="Q934" s="358" t="s">
        <v>1173</v>
      </c>
    </row>
    <row r="935" spans="16:17" x14ac:dyDescent="0.25">
      <c r="P935" s="358" t="s">
        <v>278</v>
      </c>
      <c r="Q935" s="358" t="s">
        <v>717</v>
      </c>
    </row>
    <row r="936" spans="16:17" x14ac:dyDescent="0.25">
      <c r="P936" s="358" t="s">
        <v>278</v>
      </c>
      <c r="Q936" s="358" t="s">
        <v>988</v>
      </c>
    </row>
    <row r="937" spans="16:17" x14ac:dyDescent="0.25">
      <c r="P937" s="358" t="s">
        <v>278</v>
      </c>
      <c r="Q937" s="358" t="s">
        <v>989</v>
      </c>
    </row>
    <row r="938" spans="16:17" x14ac:dyDescent="0.25">
      <c r="P938" s="358" t="s">
        <v>278</v>
      </c>
      <c r="Q938" s="358" t="s">
        <v>990</v>
      </c>
    </row>
    <row r="939" spans="16:17" x14ac:dyDescent="0.25">
      <c r="P939" s="358" t="s">
        <v>278</v>
      </c>
      <c r="Q939" s="358" t="s">
        <v>991</v>
      </c>
    </row>
    <row r="940" spans="16:17" x14ac:dyDescent="0.25">
      <c r="P940" s="358" t="s">
        <v>278</v>
      </c>
      <c r="Q940" s="358" t="s">
        <v>978</v>
      </c>
    </row>
    <row r="941" spans="16:17" x14ac:dyDescent="0.25">
      <c r="P941" s="358" t="s">
        <v>279</v>
      </c>
      <c r="Q941" s="358" t="s">
        <v>1003</v>
      </c>
    </row>
    <row r="942" spans="16:17" x14ac:dyDescent="0.25">
      <c r="P942" s="358" t="s">
        <v>279</v>
      </c>
      <c r="Q942" s="358" t="s">
        <v>1004</v>
      </c>
    </row>
    <row r="943" spans="16:17" x14ac:dyDescent="0.25">
      <c r="P943" s="358" t="s">
        <v>279</v>
      </c>
      <c r="Q943" s="358" t="s">
        <v>1005</v>
      </c>
    </row>
    <row r="944" spans="16:17" x14ac:dyDescent="0.25">
      <c r="P944" s="358" t="s">
        <v>279</v>
      </c>
      <c r="Q944" s="358" t="s">
        <v>582</v>
      </c>
    </row>
    <row r="945" spans="16:17" x14ac:dyDescent="0.25">
      <c r="P945" s="358" t="s">
        <v>279</v>
      </c>
      <c r="Q945" s="358" t="s">
        <v>583</v>
      </c>
    </row>
    <row r="946" spans="16:17" x14ac:dyDescent="0.25">
      <c r="P946" s="358" t="s">
        <v>279</v>
      </c>
      <c r="Q946" s="358" t="s">
        <v>1006</v>
      </c>
    </row>
    <row r="947" spans="16:17" x14ac:dyDescent="0.25">
      <c r="P947" s="358" t="s">
        <v>279</v>
      </c>
      <c r="Q947" s="358" t="s">
        <v>1007</v>
      </c>
    </row>
    <row r="948" spans="16:17" x14ac:dyDescent="0.25">
      <c r="P948" s="358" t="s">
        <v>279</v>
      </c>
      <c r="Q948" s="358" t="s">
        <v>1008</v>
      </c>
    </row>
    <row r="949" spans="16:17" x14ac:dyDescent="0.25">
      <c r="P949" s="358" t="s">
        <v>279</v>
      </c>
      <c r="Q949" s="358" t="s">
        <v>1009</v>
      </c>
    </row>
    <row r="950" spans="16:17" x14ac:dyDescent="0.25">
      <c r="P950" s="358" t="s">
        <v>279</v>
      </c>
      <c r="Q950" s="358" t="s">
        <v>1163</v>
      </c>
    </row>
    <row r="951" spans="16:17" x14ac:dyDescent="0.25">
      <c r="P951" s="358" t="s">
        <v>279</v>
      </c>
      <c r="Q951" s="358" t="s">
        <v>1010</v>
      </c>
    </row>
    <row r="952" spans="16:17" x14ac:dyDescent="0.25">
      <c r="P952" s="358" t="s">
        <v>279</v>
      </c>
      <c r="Q952" s="358" t="s">
        <v>1011</v>
      </c>
    </row>
    <row r="953" spans="16:17" x14ac:dyDescent="0.25">
      <c r="P953" s="358" t="s">
        <v>279</v>
      </c>
      <c r="Q953" s="358" t="s">
        <v>1012</v>
      </c>
    </row>
    <row r="954" spans="16:17" x14ac:dyDescent="0.25">
      <c r="P954" s="358" t="s">
        <v>279</v>
      </c>
      <c r="Q954" s="358" t="s">
        <v>1013</v>
      </c>
    </row>
    <row r="955" spans="16:17" x14ac:dyDescent="0.25">
      <c r="P955" s="358" t="s">
        <v>279</v>
      </c>
      <c r="Q955" s="358" t="s">
        <v>1014</v>
      </c>
    </row>
    <row r="956" spans="16:17" x14ac:dyDescent="0.25">
      <c r="P956" s="358" t="s">
        <v>279</v>
      </c>
      <c r="Q956" s="358" t="s">
        <v>584</v>
      </c>
    </row>
    <row r="957" spans="16:17" x14ac:dyDescent="0.25">
      <c r="P957" s="358" t="s">
        <v>279</v>
      </c>
      <c r="Q957" s="358" t="s">
        <v>1015</v>
      </c>
    </row>
    <row r="958" spans="16:17" x14ac:dyDescent="0.25">
      <c r="P958" s="358" t="s">
        <v>279</v>
      </c>
      <c r="Q958" s="358" t="s">
        <v>1016</v>
      </c>
    </row>
    <row r="959" spans="16:17" x14ac:dyDescent="0.25">
      <c r="P959" s="358" t="s">
        <v>279</v>
      </c>
      <c r="Q959" s="358" t="s">
        <v>1017</v>
      </c>
    </row>
    <row r="960" spans="16:17" x14ac:dyDescent="0.25">
      <c r="P960" s="358" t="s">
        <v>279</v>
      </c>
      <c r="Q960" s="358" t="s">
        <v>1018</v>
      </c>
    </row>
    <row r="961" spans="16:17" x14ac:dyDescent="0.25">
      <c r="P961" s="358" t="s">
        <v>279</v>
      </c>
      <c r="Q961" s="358" t="s">
        <v>585</v>
      </c>
    </row>
    <row r="962" spans="16:17" x14ac:dyDescent="0.25">
      <c r="P962" s="358" t="s">
        <v>279</v>
      </c>
      <c r="Q962" s="358" t="s">
        <v>1019</v>
      </c>
    </row>
    <row r="963" spans="16:17" x14ac:dyDescent="0.25">
      <c r="P963" s="358" t="s">
        <v>279</v>
      </c>
      <c r="Q963" s="358" t="s">
        <v>1020</v>
      </c>
    </row>
    <row r="964" spans="16:17" x14ac:dyDescent="0.25">
      <c r="P964" s="358" t="s">
        <v>279</v>
      </c>
      <c r="Q964" s="358" t="s">
        <v>1164</v>
      </c>
    </row>
    <row r="965" spans="16:17" x14ac:dyDescent="0.25">
      <c r="P965" s="358" t="s">
        <v>279</v>
      </c>
      <c r="Q965" s="358" t="s">
        <v>1021</v>
      </c>
    </row>
    <row r="966" spans="16:17" x14ac:dyDescent="0.25">
      <c r="P966" s="358" t="s">
        <v>279</v>
      </c>
      <c r="Q966" s="358" t="s">
        <v>1022</v>
      </c>
    </row>
    <row r="967" spans="16:17" x14ac:dyDescent="0.25">
      <c r="P967" s="358" t="s">
        <v>279</v>
      </c>
      <c r="Q967" s="358" t="s">
        <v>1165</v>
      </c>
    </row>
    <row r="968" spans="16:17" x14ac:dyDescent="0.25">
      <c r="P968" s="358" t="s">
        <v>279</v>
      </c>
      <c r="Q968" s="358" t="s">
        <v>1023</v>
      </c>
    </row>
    <row r="969" spans="16:17" x14ac:dyDescent="0.25">
      <c r="P969" s="358" t="s">
        <v>279</v>
      </c>
      <c r="Q969" s="358" t="s">
        <v>1024</v>
      </c>
    </row>
    <row r="970" spans="16:17" x14ac:dyDescent="0.25">
      <c r="P970" s="358" t="s">
        <v>279</v>
      </c>
      <c r="Q970" s="358" t="s">
        <v>1025</v>
      </c>
    </row>
    <row r="971" spans="16:17" x14ac:dyDescent="0.25">
      <c r="P971" s="358" t="s">
        <v>279</v>
      </c>
      <c r="Q971" s="358" t="s">
        <v>1026</v>
      </c>
    </row>
    <row r="972" spans="16:17" x14ac:dyDescent="0.25">
      <c r="P972" s="358" t="s">
        <v>279</v>
      </c>
      <c r="Q972" s="358" t="s">
        <v>1027</v>
      </c>
    </row>
    <row r="973" spans="16:17" x14ac:dyDescent="0.25">
      <c r="P973" s="358" t="s">
        <v>279</v>
      </c>
      <c r="Q973" s="358" t="s">
        <v>1028</v>
      </c>
    </row>
    <row r="974" spans="16:17" x14ac:dyDescent="0.25">
      <c r="P974" s="358" t="s">
        <v>279</v>
      </c>
      <c r="Q974" s="358" t="s">
        <v>1166</v>
      </c>
    </row>
    <row r="975" spans="16:17" x14ac:dyDescent="0.25">
      <c r="P975" s="358" t="s">
        <v>279</v>
      </c>
      <c r="Q975" s="358" t="s">
        <v>1167</v>
      </c>
    </row>
    <row r="976" spans="16:17" x14ac:dyDescent="0.25">
      <c r="P976" s="358" t="s">
        <v>279</v>
      </c>
      <c r="Q976" s="358" t="s">
        <v>977</v>
      </c>
    </row>
    <row r="977" spans="16:17" x14ac:dyDescent="0.25">
      <c r="P977" s="358" t="s">
        <v>279</v>
      </c>
      <c r="Q977" s="358" t="s">
        <v>706</v>
      </c>
    </row>
    <row r="978" spans="16:17" x14ac:dyDescent="0.25">
      <c r="P978" s="358" t="s">
        <v>279</v>
      </c>
      <c r="Q978" s="358" t="s">
        <v>1168</v>
      </c>
    </row>
    <row r="979" spans="16:17" x14ac:dyDescent="0.25">
      <c r="P979" s="358" t="s">
        <v>279</v>
      </c>
      <c r="Q979" s="358" t="s">
        <v>979</v>
      </c>
    </row>
    <row r="980" spans="16:17" x14ac:dyDescent="0.25">
      <c r="P980" s="358" t="s">
        <v>279</v>
      </c>
      <c r="Q980" s="358" t="s">
        <v>1169</v>
      </c>
    </row>
    <row r="981" spans="16:17" x14ac:dyDescent="0.25">
      <c r="P981" s="358" t="s">
        <v>279</v>
      </c>
      <c r="Q981" s="358" t="s">
        <v>980</v>
      </c>
    </row>
    <row r="982" spans="16:17" x14ac:dyDescent="0.25">
      <c r="P982" s="358" t="s">
        <v>279</v>
      </c>
      <c r="Q982" s="358" t="s">
        <v>981</v>
      </c>
    </row>
    <row r="983" spans="16:17" x14ac:dyDescent="0.25">
      <c r="P983" s="358" t="s">
        <v>279</v>
      </c>
      <c r="Q983" s="358" t="s">
        <v>982</v>
      </c>
    </row>
    <row r="984" spans="16:17" x14ac:dyDescent="0.25">
      <c r="P984" s="358" t="s">
        <v>279</v>
      </c>
      <c r="Q984" s="358" t="s">
        <v>983</v>
      </c>
    </row>
    <row r="985" spans="16:17" x14ac:dyDescent="0.25">
      <c r="P985" s="358" t="s">
        <v>279</v>
      </c>
      <c r="Q985" s="358" t="s">
        <v>709</v>
      </c>
    </row>
    <row r="986" spans="16:17" x14ac:dyDescent="0.25">
      <c r="P986" s="358" t="s">
        <v>279</v>
      </c>
      <c r="Q986" s="358" t="s">
        <v>710</v>
      </c>
    </row>
    <row r="987" spans="16:17" x14ac:dyDescent="0.25">
      <c r="P987" s="358" t="s">
        <v>279</v>
      </c>
      <c r="Q987" s="358" t="s">
        <v>984</v>
      </c>
    </row>
    <row r="988" spans="16:17" x14ac:dyDescent="0.25">
      <c r="P988" s="358" t="s">
        <v>279</v>
      </c>
      <c r="Q988" s="358" t="s">
        <v>985</v>
      </c>
    </row>
    <row r="989" spans="16:17" x14ac:dyDescent="0.25">
      <c r="P989" s="358" t="s">
        <v>279</v>
      </c>
      <c r="Q989" s="358" t="s">
        <v>712</v>
      </c>
    </row>
    <row r="990" spans="16:17" x14ac:dyDescent="0.25">
      <c r="P990" s="358" t="s">
        <v>279</v>
      </c>
      <c r="Q990" s="358" t="s">
        <v>986</v>
      </c>
    </row>
    <row r="991" spans="16:17" x14ac:dyDescent="0.25">
      <c r="P991" s="358" t="s">
        <v>279</v>
      </c>
      <c r="Q991" s="358" t="s">
        <v>1170</v>
      </c>
    </row>
    <row r="992" spans="16:17" x14ac:dyDescent="0.25">
      <c r="P992" s="358" t="s">
        <v>279</v>
      </c>
      <c r="Q992" s="358" t="s">
        <v>713</v>
      </c>
    </row>
    <row r="993" spans="16:17" x14ac:dyDescent="0.25">
      <c r="P993" s="358" t="s">
        <v>279</v>
      </c>
      <c r="Q993" s="358" t="s">
        <v>714</v>
      </c>
    </row>
    <row r="994" spans="16:17" x14ac:dyDescent="0.25">
      <c r="P994" s="358" t="s">
        <v>279</v>
      </c>
      <c r="Q994" s="358" t="s">
        <v>1171</v>
      </c>
    </row>
    <row r="995" spans="16:17" x14ac:dyDescent="0.25">
      <c r="P995" s="358" t="s">
        <v>279</v>
      </c>
      <c r="Q995" s="358" t="s">
        <v>716</v>
      </c>
    </row>
    <row r="996" spans="16:17" x14ac:dyDescent="0.25">
      <c r="P996" s="358" t="s">
        <v>279</v>
      </c>
      <c r="Q996" s="358" t="s">
        <v>987</v>
      </c>
    </row>
    <row r="997" spans="16:17" x14ac:dyDescent="0.25">
      <c r="P997" s="358" t="s">
        <v>279</v>
      </c>
      <c r="Q997" s="358" t="s">
        <v>1172</v>
      </c>
    </row>
    <row r="998" spans="16:17" x14ac:dyDescent="0.25">
      <c r="P998" s="358" t="s">
        <v>279</v>
      </c>
      <c r="Q998" s="358" t="s">
        <v>1173</v>
      </c>
    </row>
    <row r="999" spans="16:17" x14ac:dyDescent="0.25">
      <c r="P999" s="358" t="s">
        <v>279</v>
      </c>
      <c r="Q999" s="358" t="s">
        <v>717</v>
      </c>
    </row>
    <row r="1000" spans="16:17" x14ac:dyDescent="0.25">
      <c r="P1000" s="358" t="s">
        <v>279</v>
      </c>
      <c r="Q1000" s="358" t="s">
        <v>988</v>
      </c>
    </row>
    <row r="1001" spans="16:17" x14ac:dyDescent="0.25">
      <c r="P1001" s="358" t="s">
        <v>279</v>
      </c>
      <c r="Q1001" s="358" t="s">
        <v>989</v>
      </c>
    </row>
    <row r="1002" spans="16:17" x14ac:dyDescent="0.25">
      <c r="P1002" s="358" t="s">
        <v>279</v>
      </c>
      <c r="Q1002" s="358" t="s">
        <v>990</v>
      </c>
    </row>
    <row r="1003" spans="16:17" x14ac:dyDescent="0.25">
      <c r="P1003" s="358" t="s">
        <v>279</v>
      </c>
      <c r="Q1003" s="358" t="s">
        <v>991</v>
      </c>
    </row>
    <row r="1004" spans="16:17" x14ac:dyDescent="0.25">
      <c r="P1004" s="358" t="s">
        <v>279</v>
      </c>
      <c r="Q1004" s="358" t="s">
        <v>978</v>
      </c>
    </row>
    <row r="1005" spans="16:17" x14ac:dyDescent="0.25">
      <c r="P1005" s="358" t="s">
        <v>279</v>
      </c>
      <c r="Q1005" s="358" t="s">
        <v>773</v>
      </c>
    </row>
    <row r="1006" spans="16:17" x14ac:dyDescent="0.25">
      <c r="P1006" s="358" t="s">
        <v>279</v>
      </c>
      <c r="Q1006" s="358" t="s">
        <v>1174</v>
      </c>
    </row>
    <row r="1007" spans="16:17" x14ac:dyDescent="0.25">
      <c r="P1007" s="358" t="s">
        <v>279</v>
      </c>
      <c r="Q1007" s="358" t="s">
        <v>1175</v>
      </c>
    </row>
    <row r="1008" spans="16:17" x14ac:dyDescent="0.25">
      <c r="P1008" s="358" t="s">
        <v>279</v>
      </c>
      <c r="Q1008" s="358" t="s">
        <v>782</v>
      </c>
    </row>
    <row r="1009" spans="16:17" x14ac:dyDescent="0.25">
      <c r="P1009" s="358" t="s">
        <v>279</v>
      </c>
      <c r="Q1009" s="358" t="s">
        <v>1176</v>
      </c>
    </row>
    <row r="1010" spans="16:17" x14ac:dyDescent="0.25">
      <c r="P1010" s="358" t="s">
        <v>279</v>
      </c>
      <c r="Q1010" s="358" t="s">
        <v>1177</v>
      </c>
    </row>
    <row r="1011" spans="16:17" x14ac:dyDescent="0.25">
      <c r="P1011" s="358" t="s">
        <v>279</v>
      </c>
      <c r="Q1011" s="358" t="s">
        <v>1178</v>
      </c>
    </row>
    <row r="1012" spans="16:17" x14ac:dyDescent="0.25">
      <c r="P1012" s="358" t="s">
        <v>279</v>
      </c>
      <c r="Q1012" s="358" t="s">
        <v>1179</v>
      </c>
    </row>
    <row r="1013" spans="16:17" x14ac:dyDescent="0.25">
      <c r="P1013" s="358" t="s">
        <v>279</v>
      </c>
      <c r="Q1013" s="358" t="s">
        <v>1180</v>
      </c>
    </row>
    <row r="1014" spans="16:17" x14ac:dyDescent="0.25">
      <c r="P1014" s="358" t="s">
        <v>279</v>
      </c>
      <c r="Q1014" s="358" t="s">
        <v>1181</v>
      </c>
    </row>
    <row r="1015" spans="16:17" x14ac:dyDescent="0.25">
      <c r="P1015" s="358" t="s">
        <v>279</v>
      </c>
      <c r="Q1015" s="358" t="s">
        <v>200</v>
      </c>
    </row>
    <row r="1016" spans="16:17" x14ac:dyDescent="0.25">
      <c r="P1016" s="358" t="s">
        <v>279</v>
      </c>
      <c r="Q1016" s="358" t="s">
        <v>948</v>
      </c>
    </row>
    <row r="1017" spans="16:17" x14ac:dyDescent="0.25">
      <c r="P1017" s="358" t="s">
        <v>279</v>
      </c>
      <c r="Q1017" s="358" t="s">
        <v>784</v>
      </c>
    </row>
    <row r="1018" spans="16:17" x14ac:dyDescent="0.25">
      <c r="P1018" s="358" t="s">
        <v>279</v>
      </c>
      <c r="Q1018" s="358" t="s">
        <v>949</v>
      </c>
    </row>
    <row r="1019" spans="16:17" x14ac:dyDescent="0.25">
      <c r="P1019" s="358" t="s">
        <v>279</v>
      </c>
      <c r="Q1019" s="358" t="s">
        <v>1182</v>
      </c>
    </row>
    <row r="1020" spans="16:17" x14ac:dyDescent="0.25">
      <c r="P1020" s="358" t="s">
        <v>279</v>
      </c>
      <c r="Q1020" s="358" t="s">
        <v>1183</v>
      </c>
    </row>
    <row r="1021" spans="16:17" x14ac:dyDescent="0.25">
      <c r="P1021" s="358" t="s">
        <v>279</v>
      </c>
      <c r="Q1021" s="358" t="s">
        <v>950</v>
      </c>
    </row>
    <row r="1022" spans="16:17" x14ac:dyDescent="0.25">
      <c r="P1022" s="358" t="s">
        <v>279</v>
      </c>
      <c r="Q1022" s="358" t="s">
        <v>1184</v>
      </c>
    </row>
    <row r="1023" spans="16:17" x14ac:dyDescent="0.25">
      <c r="P1023" s="358" t="s">
        <v>279</v>
      </c>
      <c r="Q1023" s="358" t="s">
        <v>951</v>
      </c>
    </row>
    <row r="1024" spans="16:17" x14ac:dyDescent="0.25">
      <c r="P1024" s="358" t="s">
        <v>279</v>
      </c>
      <c r="Q1024" s="358" t="s">
        <v>1185</v>
      </c>
    </row>
    <row r="1025" spans="16:17" x14ac:dyDescent="0.25">
      <c r="P1025" s="358" t="s">
        <v>279</v>
      </c>
      <c r="Q1025" s="359" t="s">
        <v>952</v>
      </c>
    </row>
    <row r="1026" spans="16:17" x14ac:dyDescent="0.25">
      <c r="P1026" s="358" t="s">
        <v>279</v>
      </c>
      <c r="Q1026" s="358" t="s">
        <v>1186</v>
      </c>
    </row>
    <row r="1027" spans="16:17" x14ac:dyDescent="0.25">
      <c r="P1027" s="358" t="s">
        <v>279</v>
      </c>
      <c r="Q1027" s="358" t="s">
        <v>934</v>
      </c>
    </row>
    <row r="1028" spans="16:17" x14ac:dyDescent="0.25">
      <c r="P1028" s="358" t="s">
        <v>279</v>
      </c>
      <c r="Q1028" s="358" t="s">
        <v>935</v>
      </c>
    </row>
    <row r="1029" spans="16:17" x14ac:dyDescent="0.25">
      <c r="P1029" s="358" t="s">
        <v>801</v>
      </c>
      <c r="Q1029" s="358" t="s">
        <v>953</v>
      </c>
    </row>
    <row r="1030" spans="16:17" x14ac:dyDescent="0.25">
      <c r="P1030" s="358" t="s">
        <v>801</v>
      </c>
      <c r="Q1030" s="358" t="s">
        <v>703</v>
      </c>
    </row>
    <row r="1031" spans="16:17" x14ac:dyDescent="0.25">
      <c r="P1031" s="358" t="s">
        <v>802</v>
      </c>
      <c r="Q1031" s="358" t="s">
        <v>953</v>
      </c>
    </row>
    <row r="1032" spans="16:17" x14ac:dyDescent="0.25">
      <c r="P1032" s="358" t="s">
        <v>485</v>
      </c>
      <c r="Q1032" s="358" t="s">
        <v>631</v>
      </c>
    </row>
    <row r="1033" spans="16:17" x14ac:dyDescent="0.25">
      <c r="P1033" s="358" t="s">
        <v>485</v>
      </c>
      <c r="Q1033" s="358" t="s">
        <v>640</v>
      </c>
    </row>
    <row r="1034" spans="16:17" x14ac:dyDescent="0.25">
      <c r="P1034" s="358" t="s">
        <v>485</v>
      </c>
      <c r="Q1034" s="358" t="s">
        <v>642</v>
      </c>
    </row>
    <row r="1035" spans="16:17" x14ac:dyDescent="0.25">
      <c r="P1035" s="358" t="s">
        <v>485</v>
      </c>
      <c r="Q1035" s="358" t="s">
        <v>643</v>
      </c>
    </row>
    <row r="1036" spans="16:17" x14ac:dyDescent="0.25">
      <c r="P1036" s="358" t="s">
        <v>486</v>
      </c>
      <c r="Q1036" s="358" t="s">
        <v>640</v>
      </c>
    </row>
    <row r="1037" spans="16:17" x14ac:dyDescent="0.25">
      <c r="P1037" s="358" t="s">
        <v>486</v>
      </c>
      <c r="Q1037" s="358" t="s">
        <v>642</v>
      </c>
    </row>
    <row r="1038" spans="16:17" x14ac:dyDescent="0.25">
      <c r="P1038" s="358" t="s">
        <v>288</v>
      </c>
      <c r="Q1038" s="358" t="s">
        <v>666</v>
      </c>
    </row>
    <row r="1039" spans="16:17" x14ac:dyDescent="0.25">
      <c r="P1039" s="358" t="s">
        <v>288</v>
      </c>
      <c r="Q1039" s="358" t="s">
        <v>680</v>
      </c>
    </row>
    <row r="1040" spans="16:17" x14ac:dyDescent="0.25">
      <c r="P1040" s="358" t="s">
        <v>288</v>
      </c>
      <c r="Q1040" s="358" t="s">
        <v>681</v>
      </c>
    </row>
    <row r="1041" spans="16:17" x14ac:dyDescent="0.25">
      <c r="P1041" s="358" t="s">
        <v>288</v>
      </c>
      <c r="Q1041" s="358" t="s">
        <v>688</v>
      </c>
    </row>
    <row r="1042" spans="16:17" x14ac:dyDescent="0.25">
      <c r="P1042" s="358" t="s">
        <v>288</v>
      </c>
      <c r="Q1042" s="358" t="s">
        <v>693</v>
      </c>
    </row>
    <row r="1043" spans="16:17" x14ac:dyDescent="0.25">
      <c r="P1043" s="358" t="s">
        <v>289</v>
      </c>
      <c r="Q1043" s="358" t="s">
        <v>662</v>
      </c>
    </row>
    <row r="1044" spans="16:17" x14ac:dyDescent="0.25">
      <c r="P1044" s="358" t="s">
        <v>289</v>
      </c>
      <c r="Q1044" s="358" t="s">
        <v>677</v>
      </c>
    </row>
    <row r="1045" spans="16:17" x14ac:dyDescent="0.25">
      <c r="P1045" s="358" t="s">
        <v>289</v>
      </c>
      <c r="Q1045" s="358" t="s">
        <v>682</v>
      </c>
    </row>
    <row r="1046" spans="16:17" x14ac:dyDescent="0.25">
      <c r="P1046" s="358" t="s">
        <v>289</v>
      </c>
      <c r="Q1046" s="358" t="s">
        <v>685</v>
      </c>
    </row>
    <row r="1047" spans="16:17" x14ac:dyDescent="0.25">
      <c r="P1047" s="358" t="s">
        <v>290</v>
      </c>
      <c r="Q1047" s="359" t="s">
        <v>757</v>
      </c>
    </row>
    <row r="1048" spans="16:17" x14ac:dyDescent="0.25">
      <c r="P1048" s="358" t="s">
        <v>568</v>
      </c>
      <c r="Q1048" s="358" t="s">
        <v>904</v>
      </c>
    </row>
    <row r="1049" spans="16:17" x14ac:dyDescent="0.25">
      <c r="P1049" s="358" t="s">
        <v>568</v>
      </c>
      <c r="Q1049" s="358" t="s">
        <v>905</v>
      </c>
    </row>
    <row r="1050" spans="16:17" x14ac:dyDescent="0.25">
      <c r="P1050" s="358" t="s">
        <v>568</v>
      </c>
      <c r="Q1050" s="358" t="s">
        <v>906</v>
      </c>
    </row>
    <row r="1051" spans="16:17" x14ac:dyDescent="0.25">
      <c r="P1051" s="358" t="s">
        <v>568</v>
      </c>
      <c r="Q1051" s="358" t="s">
        <v>907</v>
      </c>
    </row>
    <row r="1052" spans="16:17" x14ac:dyDescent="0.25">
      <c r="P1052" s="358" t="s">
        <v>568</v>
      </c>
      <c r="Q1052" s="358" t="s">
        <v>908</v>
      </c>
    </row>
    <row r="1053" spans="16:17" x14ac:dyDescent="0.25">
      <c r="P1053" s="358" t="s">
        <v>569</v>
      </c>
      <c r="Q1053" s="358" t="s">
        <v>904</v>
      </c>
    </row>
    <row r="1054" spans="16:17" x14ac:dyDescent="0.25">
      <c r="P1054" s="358" t="s">
        <v>569</v>
      </c>
      <c r="Q1054" s="358" t="s">
        <v>905</v>
      </c>
    </row>
    <row r="1055" spans="16:17" x14ac:dyDescent="0.25">
      <c r="P1055" s="358" t="s">
        <v>569</v>
      </c>
      <c r="Q1055" s="358" t="s">
        <v>906</v>
      </c>
    </row>
    <row r="1056" spans="16:17" x14ac:dyDescent="0.25">
      <c r="P1056" s="358" t="s">
        <v>569</v>
      </c>
      <c r="Q1056" s="358" t="s">
        <v>907</v>
      </c>
    </row>
    <row r="1057" spans="16:17" x14ac:dyDescent="0.25">
      <c r="P1057" s="358" t="s">
        <v>569</v>
      </c>
      <c r="Q1057" s="358" t="s">
        <v>908</v>
      </c>
    </row>
    <row r="1058" spans="16:17" x14ac:dyDescent="0.25">
      <c r="P1058" s="358" t="s">
        <v>487</v>
      </c>
      <c r="Q1058" s="358" t="s">
        <v>1064</v>
      </c>
    </row>
    <row r="1059" spans="16:17" x14ac:dyDescent="0.25">
      <c r="P1059" s="358" t="s">
        <v>294</v>
      </c>
      <c r="Q1059" s="358" t="s">
        <v>719</v>
      </c>
    </row>
    <row r="1060" spans="16:17" x14ac:dyDescent="0.25">
      <c r="P1060" s="358" t="s">
        <v>294</v>
      </c>
      <c r="Q1060" s="358" t="s">
        <v>767</v>
      </c>
    </row>
    <row r="1061" spans="16:17" x14ac:dyDescent="0.25">
      <c r="P1061" s="358" t="s">
        <v>293</v>
      </c>
      <c r="Q1061" s="358" t="s">
        <v>855</v>
      </c>
    </row>
    <row r="1062" spans="16:17" x14ac:dyDescent="0.25">
      <c r="P1062" s="358" t="s">
        <v>293</v>
      </c>
      <c r="Q1062" s="358" t="s">
        <v>1066</v>
      </c>
    </row>
    <row r="1063" spans="16:17" x14ac:dyDescent="0.25">
      <c r="P1063" s="358" t="s">
        <v>293</v>
      </c>
      <c r="Q1063" s="358" t="s">
        <v>1067</v>
      </c>
    </row>
    <row r="1064" spans="16:17" x14ac:dyDescent="0.25">
      <c r="P1064" s="358" t="s">
        <v>293</v>
      </c>
      <c r="Q1064" s="358" t="s">
        <v>856</v>
      </c>
    </row>
    <row r="1065" spans="16:17" x14ac:dyDescent="0.25">
      <c r="P1065" s="358" t="s">
        <v>293</v>
      </c>
      <c r="Q1065" s="358" t="s">
        <v>857</v>
      </c>
    </row>
    <row r="1066" spans="16:17" x14ac:dyDescent="0.25">
      <c r="P1066" s="358" t="s">
        <v>293</v>
      </c>
      <c r="Q1066" s="358" t="s">
        <v>1068</v>
      </c>
    </row>
    <row r="1067" spans="16:17" x14ac:dyDescent="0.25">
      <c r="P1067" s="358" t="s">
        <v>293</v>
      </c>
      <c r="Q1067" s="358" t="s">
        <v>1069</v>
      </c>
    </row>
    <row r="1068" spans="16:17" x14ac:dyDescent="0.25">
      <c r="P1068" s="358" t="s">
        <v>293</v>
      </c>
      <c r="Q1068" s="358" t="s">
        <v>1070</v>
      </c>
    </row>
    <row r="1069" spans="16:17" x14ac:dyDescent="0.25">
      <c r="P1069" s="358" t="s">
        <v>293</v>
      </c>
      <c r="Q1069" s="358" t="s">
        <v>1071</v>
      </c>
    </row>
    <row r="1070" spans="16:17" x14ac:dyDescent="0.25">
      <c r="P1070" s="358" t="s">
        <v>293</v>
      </c>
      <c r="Q1070" s="358" t="s">
        <v>858</v>
      </c>
    </row>
    <row r="1071" spans="16:17" x14ac:dyDescent="0.25">
      <c r="P1071" s="358" t="s">
        <v>293</v>
      </c>
      <c r="Q1071" s="358" t="s">
        <v>1072</v>
      </c>
    </row>
    <row r="1072" spans="16:17" x14ac:dyDescent="0.25">
      <c r="P1072" s="358" t="s">
        <v>293</v>
      </c>
      <c r="Q1072" s="358" t="s">
        <v>859</v>
      </c>
    </row>
    <row r="1073" spans="16:17" x14ac:dyDescent="0.25">
      <c r="P1073" s="358" t="s">
        <v>293</v>
      </c>
      <c r="Q1073" s="358" t="s">
        <v>860</v>
      </c>
    </row>
    <row r="1074" spans="16:17" x14ac:dyDescent="0.25">
      <c r="P1074" s="358" t="s">
        <v>293</v>
      </c>
      <c r="Q1074" s="358" t="s">
        <v>1073</v>
      </c>
    </row>
    <row r="1075" spans="16:17" x14ac:dyDescent="0.25">
      <c r="P1075" s="358" t="s">
        <v>293</v>
      </c>
      <c r="Q1075" s="358" t="s">
        <v>1074</v>
      </c>
    </row>
    <row r="1076" spans="16:17" x14ac:dyDescent="0.25">
      <c r="P1076" s="358" t="s">
        <v>293</v>
      </c>
      <c r="Q1076" s="358" t="s">
        <v>861</v>
      </c>
    </row>
    <row r="1077" spans="16:17" x14ac:dyDescent="0.25">
      <c r="P1077" s="358" t="s">
        <v>293</v>
      </c>
      <c r="Q1077" s="358" t="s">
        <v>1075</v>
      </c>
    </row>
    <row r="1078" spans="16:17" x14ac:dyDescent="0.25">
      <c r="P1078" s="358" t="s">
        <v>293</v>
      </c>
      <c r="Q1078" s="358" t="s">
        <v>1076</v>
      </c>
    </row>
    <row r="1079" spans="16:17" x14ac:dyDescent="0.25">
      <c r="P1079" s="358" t="s">
        <v>293</v>
      </c>
      <c r="Q1079" s="358" t="s">
        <v>1077</v>
      </c>
    </row>
    <row r="1080" spans="16:17" x14ac:dyDescent="0.25">
      <c r="P1080" s="358" t="s">
        <v>293</v>
      </c>
      <c r="Q1080" s="358" t="s">
        <v>1078</v>
      </c>
    </row>
    <row r="1081" spans="16:17" x14ac:dyDescent="0.25">
      <c r="P1081" s="358" t="s">
        <v>293</v>
      </c>
      <c r="Q1081" s="358" t="s">
        <v>1079</v>
      </c>
    </row>
    <row r="1082" spans="16:17" x14ac:dyDescent="0.25">
      <c r="P1082" s="358" t="s">
        <v>293</v>
      </c>
      <c r="Q1082" s="358" t="s">
        <v>862</v>
      </c>
    </row>
    <row r="1083" spans="16:17" x14ac:dyDescent="0.25">
      <c r="P1083" s="358" t="s">
        <v>293</v>
      </c>
      <c r="Q1083" s="358" t="s">
        <v>1080</v>
      </c>
    </row>
    <row r="1084" spans="16:17" x14ac:dyDescent="0.25">
      <c r="P1084" s="358" t="s">
        <v>293</v>
      </c>
      <c r="Q1084" s="358" t="s">
        <v>1081</v>
      </c>
    </row>
    <row r="1085" spans="16:17" x14ac:dyDescent="0.25">
      <c r="P1085" s="358" t="s">
        <v>293</v>
      </c>
      <c r="Q1085" s="358" t="s">
        <v>863</v>
      </c>
    </row>
    <row r="1086" spans="16:17" x14ac:dyDescent="0.25">
      <c r="P1086" s="358" t="s">
        <v>293</v>
      </c>
      <c r="Q1086" s="358" t="s">
        <v>1082</v>
      </c>
    </row>
    <row r="1087" spans="16:17" x14ac:dyDescent="0.25">
      <c r="P1087" s="358" t="s">
        <v>293</v>
      </c>
      <c r="Q1087" s="358" t="s">
        <v>1098</v>
      </c>
    </row>
    <row r="1088" spans="16:17" x14ac:dyDescent="0.25">
      <c r="P1088" s="358" t="s">
        <v>293</v>
      </c>
      <c r="Q1088" s="358" t="s">
        <v>1099</v>
      </c>
    </row>
    <row r="1089" spans="16:17" x14ac:dyDescent="0.25">
      <c r="P1089" s="358" t="s">
        <v>293</v>
      </c>
      <c r="Q1089" s="358" t="s">
        <v>1100</v>
      </c>
    </row>
    <row r="1090" spans="16:17" x14ac:dyDescent="0.25">
      <c r="P1090" s="358" t="s">
        <v>293</v>
      </c>
      <c r="Q1090" s="358" t="s">
        <v>1101</v>
      </c>
    </row>
    <row r="1091" spans="16:17" x14ac:dyDescent="0.25">
      <c r="P1091" s="358" t="s">
        <v>293</v>
      </c>
      <c r="Q1091" s="358" t="s">
        <v>1102</v>
      </c>
    </row>
    <row r="1092" spans="16:17" x14ac:dyDescent="0.25">
      <c r="P1092" s="358" t="s">
        <v>293</v>
      </c>
      <c r="Q1092" s="358" t="s">
        <v>1103</v>
      </c>
    </row>
    <row r="1093" spans="16:17" x14ac:dyDescent="0.25">
      <c r="P1093" s="358" t="s">
        <v>293</v>
      </c>
      <c r="Q1093" s="358" t="s">
        <v>1104</v>
      </c>
    </row>
    <row r="1094" spans="16:17" x14ac:dyDescent="0.25">
      <c r="P1094" s="358" t="s">
        <v>293</v>
      </c>
      <c r="Q1094" s="358" t="s">
        <v>1105</v>
      </c>
    </row>
    <row r="1095" spans="16:17" x14ac:dyDescent="0.25">
      <c r="P1095" s="358" t="s">
        <v>293</v>
      </c>
      <c r="Q1095" s="358" t="s">
        <v>1106</v>
      </c>
    </row>
    <row r="1096" spans="16:17" x14ac:dyDescent="0.25">
      <c r="P1096" s="358" t="s">
        <v>293</v>
      </c>
      <c r="Q1096" s="358" t="s">
        <v>1107</v>
      </c>
    </row>
    <row r="1097" spans="16:17" x14ac:dyDescent="0.25">
      <c r="P1097" s="358" t="s">
        <v>293</v>
      </c>
      <c r="Q1097" s="358" t="s">
        <v>1108</v>
      </c>
    </row>
    <row r="1098" spans="16:17" x14ac:dyDescent="0.25">
      <c r="P1098" s="358" t="s">
        <v>293</v>
      </c>
      <c r="Q1098" s="358" t="s">
        <v>1109</v>
      </c>
    </row>
    <row r="1099" spans="16:17" x14ac:dyDescent="0.25">
      <c r="P1099" s="358" t="s">
        <v>293</v>
      </c>
      <c r="Q1099" s="358" t="s">
        <v>1110</v>
      </c>
    </row>
    <row r="1100" spans="16:17" x14ac:dyDescent="0.25">
      <c r="P1100" s="358" t="s">
        <v>293</v>
      </c>
      <c r="Q1100" s="358" t="s">
        <v>1111</v>
      </c>
    </row>
    <row r="1101" spans="16:17" x14ac:dyDescent="0.25">
      <c r="P1101" s="358" t="s">
        <v>293</v>
      </c>
      <c r="Q1101" s="358" t="s">
        <v>1112</v>
      </c>
    </row>
    <row r="1102" spans="16:17" x14ac:dyDescent="0.25">
      <c r="P1102" s="358" t="s">
        <v>293</v>
      </c>
      <c r="Q1102" s="358" t="s">
        <v>1113</v>
      </c>
    </row>
    <row r="1103" spans="16:17" x14ac:dyDescent="0.25">
      <c r="P1103" s="358" t="s">
        <v>293</v>
      </c>
      <c r="Q1103" s="358" t="s">
        <v>1114</v>
      </c>
    </row>
    <row r="1104" spans="16:17" x14ac:dyDescent="0.25">
      <c r="P1104" s="358" t="s">
        <v>293</v>
      </c>
      <c r="Q1104" s="358" t="s">
        <v>1115</v>
      </c>
    </row>
    <row r="1105" spans="16:17" x14ac:dyDescent="0.25">
      <c r="P1105" s="358" t="s">
        <v>293</v>
      </c>
      <c r="Q1105" s="358" t="s">
        <v>1116</v>
      </c>
    </row>
    <row r="1106" spans="16:17" x14ac:dyDescent="0.25">
      <c r="P1106" s="358" t="s">
        <v>293</v>
      </c>
      <c r="Q1106" s="358" t="s">
        <v>1117</v>
      </c>
    </row>
    <row r="1107" spans="16:17" x14ac:dyDescent="0.25">
      <c r="P1107" s="358" t="s">
        <v>293</v>
      </c>
      <c r="Q1107" s="358" t="s">
        <v>1118</v>
      </c>
    </row>
    <row r="1108" spans="16:17" x14ac:dyDescent="0.25">
      <c r="P1108" s="358" t="s">
        <v>293</v>
      </c>
      <c r="Q1108" s="358" t="s">
        <v>1119</v>
      </c>
    </row>
    <row r="1109" spans="16:17" x14ac:dyDescent="0.25">
      <c r="P1109" s="358" t="s">
        <v>293</v>
      </c>
      <c r="Q1109" s="358" t="s">
        <v>1120</v>
      </c>
    </row>
    <row r="1110" spans="16:17" x14ac:dyDescent="0.25">
      <c r="P1110" s="358" t="s">
        <v>293</v>
      </c>
      <c r="Q1110" s="358" t="s">
        <v>1121</v>
      </c>
    </row>
    <row r="1111" spans="16:17" x14ac:dyDescent="0.25">
      <c r="P1111" s="358" t="s">
        <v>293</v>
      </c>
      <c r="Q1111" s="358" t="s">
        <v>1122</v>
      </c>
    </row>
    <row r="1112" spans="16:17" x14ac:dyDescent="0.25">
      <c r="P1112" s="358" t="s">
        <v>293</v>
      </c>
      <c r="Q1112" s="358" t="s">
        <v>1123</v>
      </c>
    </row>
    <row r="1113" spans="16:17" x14ac:dyDescent="0.25">
      <c r="P1113" s="358" t="s">
        <v>293</v>
      </c>
      <c r="Q1113" s="358" t="s">
        <v>1124</v>
      </c>
    </row>
    <row r="1114" spans="16:17" x14ac:dyDescent="0.25">
      <c r="P1114" s="358" t="s">
        <v>488</v>
      </c>
      <c r="Q1114" s="358" t="s">
        <v>1094</v>
      </c>
    </row>
    <row r="1115" spans="16:17" x14ac:dyDescent="0.25">
      <c r="P1115" s="358" t="s">
        <v>489</v>
      </c>
      <c r="Q1115" s="358" t="s">
        <v>624</v>
      </c>
    </row>
    <row r="1116" spans="16:17" x14ac:dyDescent="0.25">
      <c r="P1116" s="358" t="s">
        <v>295</v>
      </c>
      <c r="Q1116" s="358" t="s">
        <v>151</v>
      </c>
    </row>
    <row r="1117" spans="16:17" x14ac:dyDescent="0.25">
      <c r="P1117" s="358" t="s">
        <v>295</v>
      </c>
      <c r="Q1117" s="358" t="s">
        <v>911</v>
      </c>
    </row>
    <row r="1118" spans="16:17" x14ac:dyDescent="0.25">
      <c r="P1118" s="358" t="s">
        <v>390</v>
      </c>
      <c r="Q1118" s="358" t="s">
        <v>648</v>
      </c>
    </row>
    <row r="1119" spans="16:17" x14ac:dyDescent="0.25">
      <c r="P1119" s="358" t="s">
        <v>390</v>
      </c>
      <c r="Q1119" s="358" t="s">
        <v>657</v>
      </c>
    </row>
    <row r="1120" spans="16:17" x14ac:dyDescent="0.25">
      <c r="P1120" s="358" t="s">
        <v>390</v>
      </c>
      <c r="Q1120" s="358" t="s">
        <v>741</v>
      </c>
    </row>
    <row r="1121" spans="16:17" x14ac:dyDescent="0.25">
      <c r="P1121" s="358" t="s">
        <v>296</v>
      </c>
      <c r="Q1121" s="358" t="s">
        <v>865</v>
      </c>
    </row>
    <row r="1122" spans="16:17" x14ac:dyDescent="0.25">
      <c r="P1122" s="358" t="s">
        <v>490</v>
      </c>
      <c r="Q1122" s="358" t="s">
        <v>1084</v>
      </c>
    </row>
    <row r="1123" spans="16:17" x14ac:dyDescent="0.25">
      <c r="P1123" s="358" t="s">
        <v>491</v>
      </c>
      <c r="Q1123" s="358" t="s">
        <v>1085</v>
      </c>
    </row>
    <row r="1124" spans="16:17" x14ac:dyDescent="0.25">
      <c r="P1124" s="358" t="s">
        <v>492</v>
      </c>
      <c r="Q1124" s="358" t="s">
        <v>1086</v>
      </c>
    </row>
    <row r="1125" spans="16:17" x14ac:dyDescent="0.25">
      <c r="P1125" s="358" t="s">
        <v>493</v>
      </c>
      <c r="Q1125" s="358" t="s">
        <v>1087</v>
      </c>
    </row>
    <row r="1126" spans="16:17" x14ac:dyDescent="0.25">
      <c r="P1126" s="358" t="s">
        <v>494</v>
      </c>
      <c r="Q1126" s="358" t="s">
        <v>1061</v>
      </c>
    </row>
    <row r="1127" spans="16:17" x14ac:dyDescent="0.25">
      <c r="P1127" s="358" t="s">
        <v>826</v>
      </c>
      <c r="Q1127" s="358" t="s">
        <v>1061</v>
      </c>
    </row>
    <row r="1128" spans="16:17" x14ac:dyDescent="0.25">
      <c r="P1128" s="358" t="e">
        <v>#N/A</v>
      </c>
      <c r="Q1128" s="359" t="s">
        <v>923</v>
      </c>
    </row>
    <row r="1129" spans="16:17" x14ac:dyDescent="0.25">
      <c r="P1129" s="358" t="s">
        <v>391</v>
      </c>
      <c r="Q1129" s="358" t="s">
        <v>923</v>
      </c>
    </row>
    <row r="1130" spans="16:17" x14ac:dyDescent="0.25">
      <c r="P1130" s="358" t="s">
        <v>495</v>
      </c>
      <c r="Q1130" s="358" t="s">
        <v>1086</v>
      </c>
    </row>
    <row r="1131" spans="16:17" x14ac:dyDescent="0.25">
      <c r="P1131" s="358" t="s">
        <v>496</v>
      </c>
      <c r="Q1131" s="358" t="s">
        <v>1089</v>
      </c>
    </row>
    <row r="1132" spans="16:17" x14ac:dyDescent="0.25">
      <c r="P1132" s="358" t="s">
        <v>392</v>
      </c>
      <c r="Q1132" s="358" t="s">
        <v>1160</v>
      </c>
    </row>
    <row r="1133" spans="16:17" x14ac:dyDescent="0.25">
      <c r="P1133" s="358" t="s">
        <v>392</v>
      </c>
      <c r="Q1133" s="358" t="s">
        <v>924</v>
      </c>
    </row>
    <row r="1134" spans="16:17" x14ac:dyDescent="0.25">
      <c r="P1134" s="358" t="s">
        <v>392</v>
      </c>
      <c r="Q1134" s="358" t="s">
        <v>925</v>
      </c>
    </row>
    <row r="1135" spans="16:17" x14ac:dyDescent="0.25">
      <c r="P1135" s="358" t="s">
        <v>392</v>
      </c>
      <c r="Q1135" s="358" t="s">
        <v>926</v>
      </c>
    </row>
    <row r="1136" spans="16:17" x14ac:dyDescent="0.25">
      <c r="P1136" s="358" t="s">
        <v>392</v>
      </c>
      <c r="Q1136" s="358" t="s">
        <v>927</v>
      </c>
    </row>
    <row r="1137" spans="16:17" x14ac:dyDescent="0.25">
      <c r="P1137" s="358" t="s">
        <v>392</v>
      </c>
      <c r="Q1137" s="358" t="s">
        <v>928</v>
      </c>
    </row>
    <row r="1138" spans="16:17" x14ac:dyDescent="0.25">
      <c r="P1138" s="358" t="s">
        <v>392</v>
      </c>
      <c r="Q1138" s="358" t="s">
        <v>929</v>
      </c>
    </row>
    <row r="1139" spans="16:17" x14ac:dyDescent="0.25">
      <c r="P1139" s="358" t="s">
        <v>392</v>
      </c>
      <c r="Q1139" s="358" t="s">
        <v>930</v>
      </c>
    </row>
    <row r="1140" spans="16:17" x14ac:dyDescent="0.25">
      <c r="P1140" s="358" t="s">
        <v>392</v>
      </c>
      <c r="Q1140" s="358" t="s">
        <v>931</v>
      </c>
    </row>
    <row r="1141" spans="16:17" x14ac:dyDescent="0.25">
      <c r="P1141" s="358" t="s">
        <v>392</v>
      </c>
      <c r="Q1141" s="358" t="s">
        <v>932</v>
      </c>
    </row>
    <row r="1142" spans="16:17" x14ac:dyDescent="0.25">
      <c r="P1142" s="358" t="s">
        <v>392</v>
      </c>
      <c r="Q1142" s="358" t="s">
        <v>933</v>
      </c>
    </row>
    <row r="1143" spans="16:17" x14ac:dyDescent="0.25">
      <c r="P1143" s="358" t="s">
        <v>392</v>
      </c>
      <c r="Q1143" s="358" t="s">
        <v>652</v>
      </c>
    </row>
    <row r="1144" spans="16:17" x14ac:dyDescent="0.25">
      <c r="P1144" s="358" t="s">
        <v>392</v>
      </c>
      <c r="Q1144" s="358" t="s">
        <v>1161</v>
      </c>
    </row>
    <row r="1145" spans="16:17" x14ac:dyDescent="0.25">
      <c r="P1145" s="358" t="s">
        <v>497</v>
      </c>
      <c r="Q1145" s="358" t="s">
        <v>1090</v>
      </c>
    </row>
    <row r="1146" spans="16:17" x14ac:dyDescent="0.25">
      <c r="P1146" s="358" t="s">
        <v>570</v>
      </c>
      <c r="Q1146" s="358" t="s">
        <v>934</v>
      </c>
    </row>
    <row r="1147" spans="16:17" x14ac:dyDescent="0.25">
      <c r="P1147" s="358" t="s">
        <v>570</v>
      </c>
      <c r="Q1147" s="358" t="s">
        <v>935</v>
      </c>
    </row>
    <row r="1148" spans="16:17" x14ac:dyDescent="0.25">
      <c r="P1148" s="358" t="s">
        <v>498</v>
      </c>
      <c r="Q1148" s="358" t="s">
        <v>1091</v>
      </c>
    </row>
    <row r="1149" spans="16:17" x14ac:dyDescent="0.25">
      <c r="P1149" s="358" t="s">
        <v>803</v>
      </c>
      <c r="Q1149" s="358" t="s">
        <v>1095</v>
      </c>
    </row>
    <row r="1150" spans="16:17" x14ac:dyDescent="0.25">
      <c r="P1150" s="358" t="s">
        <v>804</v>
      </c>
      <c r="Q1150" s="358" t="s">
        <v>632</v>
      </c>
    </row>
    <row r="1151" spans="16:17" x14ac:dyDescent="0.25">
      <c r="P1151" s="358" t="s">
        <v>804</v>
      </c>
      <c r="Q1151" s="358" t="s">
        <v>644</v>
      </c>
    </row>
    <row r="1152" spans="16:17" x14ac:dyDescent="0.25">
      <c r="P1152" s="358" t="s">
        <v>297</v>
      </c>
      <c r="Q1152" s="358" t="s">
        <v>630</v>
      </c>
    </row>
    <row r="1153" spans="16:17" x14ac:dyDescent="0.25">
      <c r="P1153" s="358" t="s">
        <v>500</v>
      </c>
      <c r="Q1153" s="358" t="s">
        <v>1086</v>
      </c>
    </row>
    <row r="1154" spans="16:17" x14ac:dyDescent="0.25">
      <c r="P1154" s="358" t="s">
        <v>501</v>
      </c>
      <c r="Q1154" s="358" t="s">
        <v>1086</v>
      </c>
    </row>
    <row r="1155" spans="16:17" x14ac:dyDescent="0.25">
      <c r="P1155" s="358" t="e">
        <v>#N/A</v>
      </c>
      <c r="Q1155" s="359" t="s">
        <v>1086</v>
      </c>
    </row>
    <row r="1156" spans="16:17" x14ac:dyDescent="0.25">
      <c r="P1156" s="358" t="s">
        <v>499</v>
      </c>
      <c r="Q1156" s="358" t="s">
        <v>1086</v>
      </c>
    </row>
    <row r="1157" spans="16:17" x14ac:dyDescent="0.25">
      <c r="P1157" s="358" t="s">
        <v>393</v>
      </c>
      <c r="Q1157" s="358" t="s">
        <v>720</v>
      </c>
    </row>
    <row r="1158" spans="16:17" x14ac:dyDescent="0.25">
      <c r="P1158" s="358" t="s">
        <v>394</v>
      </c>
      <c r="Q1158" s="358" t="s">
        <v>936</v>
      </c>
    </row>
    <row r="1159" spans="16:17" x14ac:dyDescent="0.25">
      <c r="P1159" s="358" t="s">
        <v>394</v>
      </c>
      <c r="Q1159" s="358" t="s">
        <v>937</v>
      </c>
    </row>
    <row r="1160" spans="16:17" x14ac:dyDescent="0.25">
      <c r="P1160" s="358" t="s">
        <v>394</v>
      </c>
      <c r="Q1160" s="358" t="s">
        <v>651</v>
      </c>
    </row>
    <row r="1161" spans="16:17" x14ac:dyDescent="0.25">
      <c r="P1161" s="358" t="s">
        <v>298</v>
      </c>
      <c r="Q1161" s="358" t="s">
        <v>992</v>
      </c>
    </row>
    <row r="1162" spans="16:17" x14ac:dyDescent="0.25">
      <c r="P1162" s="358" t="s">
        <v>298</v>
      </c>
      <c r="Q1162" s="358" t="s">
        <v>993</v>
      </c>
    </row>
    <row r="1163" spans="16:17" x14ac:dyDescent="0.25">
      <c r="P1163" s="358" t="s">
        <v>298</v>
      </c>
      <c r="Q1163" s="358" t="s">
        <v>994</v>
      </c>
    </row>
    <row r="1164" spans="16:17" x14ac:dyDescent="0.25">
      <c r="P1164" s="358" t="s">
        <v>298</v>
      </c>
      <c r="Q1164" s="358" t="s">
        <v>995</v>
      </c>
    </row>
    <row r="1165" spans="16:17" x14ac:dyDescent="0.25">
      <c r="P1165" s="358" t="s">
        <v>298</v>
      </c>
      <c r="Q1165" s="358" t="s">
        <v>17</v>
      </c>
    </row>
    <row r="1166" spans="16:17" x14ac:dyDescent="0.25">
      <c r="P1166" s="358" t="s">
        <v>298</v>
      </c>
      <c r="Q1166" s="358" t="s">
        <v>178</v>
      </c>
    </row>
    <row r="1167" spans="16:17" x14ac:dyDescent="0.25">
      <c r="P1167" s="358" t="s">
        <v>298</v>
      </c>
      <c r="Q1167" s="358" t="s">
        <v>180</v>
      </c>
    </row>
    <row r="1168" spans="16:17" x14ac:dyDescent="0.25">
      <c r="P1168" s="358" t="s">
        <v>298</v>
      </c>
      <c r="Q1168" s="358" t="s">
        <v>996</v>
      </c>
    </row>
    <row r="1169" spans="16:17" x14ac:dyDescent="0.25">
      <c r="P1169" s="358" t="s">
        <v>298</v>
      </c>
      <c r="Q1169" s="358" t="s">
        <v>997</v>
      </c>
    </row>
    <row r="1170" spans="16:17" x14ac:dyDescent="0.25">
      <c r="P1170" s="358" t="s">
        <v>298</v>
      </c>
      <c r="Q1170" s="358" t="s">
        <v>998</v>
      </c>
    </row>
    <row r="1171" spans="16:17" x14ac:dyDescent="0.25">
      <c r="P1171" s="358" t="s">
        <v>298</v>
      </c>
      <c r="Q1171" s="358" t="s">
        <v>1096</v>
      </c>
    </row>
    <row r="1172" spans="16:17" x14ac:dyDescent="0.25">
      <c r="P1172" s="358" t="s">
        <v>298</v>
      </c>
      <c r="Q1172" s="358" t="s">
        <v>999</v>
      </c>
    </row>
    <row r="1173" spans="16:17" x14ac:dyDescent="0.25">
      <c r="P1173" s="358" t="s">
        <v>298</v>
      </c>
      <c r="Q1173" s="358" t="s">
        <v>1000</v>
      </c>
    </row>
    <row r="1174" spans="16:17" x14ac:dyDescent="0.25">
      <c r="P1174" s="358" t="s">
        <v>298</v>
      </c>
      <c r="Q1174" s="358" t="s">
        <v>40</v>
      </c>
    </row>
    <row r="1175" spans="16:17" x14ac:dyDescent="0.25">
      <c r="P1175" s="358" t="s">
        <v>298</v>
      </c>
      <c r="Q1175" s="358" t="s">
        <v>1001</v>
      </c>
    </row>
    <row r="1176" spans="16:17" x14ac:dyDescent="0.25">
      <c r="P1176" s="358" t="s">
        <v>299</v>
      </c>
      <c r="Q1176" s="358" t="s">
        <v>1002</v>
      </c>
    </row>
    <row r="1177" spans="16:17" x14ac:dyDescent="0.25">
      <c r="P1177" s="358" t="s">
        <v>299</v>
      </c>
      <c r="Q1177" s="358" t="s">
        <v>722</v>
      </c>
    </row>
    <row r="1178" spans="16:17" x14ac:dyDescent="0.25">
      <c r="P1178" s="358" t="s">
        <v>299</v>
      </c>
      <c r="Q1178" s="358" t="s">
        <v>723</v>
      </c>
    </row>
    <row r="1179" spans="16:17" x14ac:dyDescent="0.25">
      <c r="P1179" s="358" t="s">
        <v>299</v>
      </c>
      <c r="Q1179" s="358" t="s">
        <v>724</v>
      </c>
    </row>
    <row r="1180" spans="16:17" x14ac:dyDescent="0.25">
      <c r="P1180" s="358" t="s">
        <v>299</v>
      </c>
      <c r="Q1180" s="358" t="s">
        <v>727</v>
      </c>
    </row>
    <row r="1181" spans="16:17" x14ac:dyDescent="0.25">
      <c r="P1181" s="358" t="s">
        <v>805</v>
      </c>
      <c r="Q1181" s="358" t="s">
        <v>1097</v>
      </c>
    </row>
    <row r="1182" spans="16:17" x14ac:dyDescent="0.25">
      <c r="P1182" s="358" t="s">
        <v>300</v>
      </c>
      <c r="Q1182" s="358" t="s">
        <v>683</v>
      </c>
    </row>
    <row r="1183" spans="16:17" x14ac:dyDescent="0.25">
      <c r="P1183" s="358" t="s">
        <v>502</v>
      </c>
      <c r="Q1183" s="358" t="s">
        <v>1092</v>
      </c>
    </row>
    <row r="1184" spans="16:17" x14ac:dyDescent="0.25">
      <c r="P1184" s="358" t="s">
        <v>302</v>
      </c>
      <c r="Q1184" s="358" t="s">
        <v>584</v>
      </c>
    </row>
    <row r="1185" spans="16:17" x14ac:dyDescent="0.25">
      <c r="P1185" s="358" t="s">
        <v>302</v>
      </c>
      <c r="Q1185" s="358" t="s">
        <v>585</v>
      </c>
    </row>
    <row r="1186" spans="16:17" x14ac:dyDescent="0.25">
      <c r="P1186" s="358" t="s">
        <v>301</v>
      </c>
      <c r="Q1186" s="358" t="s">
        <v>1003</v>
      </c>
    </row>
    <row r="1187" spans="16:17" x14ac:dyDescent="0.25">
      <c r="P1187" s="358" t="s">
        <v>301</v>
      </c>
      <c r="Q1187" s="358" t="s">
        <v>1004</v>
      </c>
    </row>
    <row r="1188" spans="16:17" x14ac:dyDescent="0.25">
      <c r="P1188" s="358" t="s">
        <v>301</v>
      </c>
      <c r="Q1188" s="358" t="s">
        <v>1005</v>
      </c>
    </row>
    <row r="1189" spans="16:17" x14ac:dyDescent="0.25">
      <c r="P1189" s="358" t="s">
        <v>301</v>
      </c>
      <c r="Q1189" s="358" t="s">
        <v>582</v>
      </c>
    </row>
    <row r="1190" spans="16:17" x14ac:dyDescent="0.25">
      <c r="P1190" s="358" t="s">
        <v>301</v>
      </c>
      <c r="Q1190" s="358" t="s">
        <v>583</v>
      </c>
    </row>
    <row r="1191" spans="16:17" x14ac:dyDescent="0.25">
      <c r="P1191" s="358" t="s">
        <v>301</v>
      </c>
      <c r="Q1191" s="358" t="s">
        <v>1006</v>
      </c>
    </row>
    <row r="1192" spans="16:17" x14ac:dyDescent="0.25">
      <c r="P1192" s="358" t="s">
        <v>301</v>
      </c>
      <c r="Q1192" s="358" t="s">
        <v>1007</v>
      </c>
    </row>
    <row r="1193" spans="16:17" x14ac:dyDescent="0.25">
      <c r="P1193" s="358" t="s">
        <v>301</v>
      </c>
      <c r="Q1193" s="358" t="s">
        <v>1008</v>
      </c>
    </row>
    <row r="1194" spans="16:17" x14ac:dyDescent="0.25">
      <c r="P1194" s="358" t="s">
        <v>301</v>
      </c>
      <c r="Q1194" s="358" t="s">
        <v>1009</v>
      </c>
    </row>
    <row r="1195" spans="16:17" x14ac:dyDescent="0.25">
      <c r="P1195" s="358" t="s">
        <v>301</v>
      </c>
      <c r="Q1195" s="358" t="s">
        <v>1163</v>
      </c>
    </row>
    <row r="1196" spans="16:17" x14ac:dyDescent="0.25">
      <c r="P1196" s="358" t="s">
        <v>301</v>
      </c>
      <c r="Q1196" s="358" t="s">
        <v>1010</v>
      </c>
    </row>
    <row r="1197" spans="16:17" x14ac:dyDescent="0.25">
      <c r="P1197" s="358" t="s">
        <v>301</v>
      </c>
      <c r="Q1197" s="358" t="s">
        <v>1011</v>
      </c>
    </row>
    <row r="1198" spans="16:17" x14ac:dyDescent="0.25">
      <c r="P1198" s="358" t="s">
        <v>301</v>
      </c>
      <c r="Q1198" s="358" t="s">
        <v>1012</v>
      </c>
    </row>
    <row r="1199" spans="16:17" x14ac:dyDescent="0.25">
      <c r="P1199" s="358" t="s">
        <v>301</v>
      </c>
      <c r="Q1199" s="358" t="s">
        <v>1013</v>
      </c>
    </row>
    <row r="1200" spans="16:17" x14ac:dyDescent="0.25">
      <c r="P1200" s="358" t="s">
        <v>301</v>
      </c>
      <c r="Q1200" s="358" t="s">
        <v>1014</v>
      </c>
    </row>
    <row r="1201" spans="16:17" x14ac:dyDescent="0.25">
      <c r="P1201" s="358" t="s">
        <v>301</v>
      </c>
      <c r="Q1201" s="358" t="s">
        <v>584</v>
      </c>
    </row>
    <row r="1202" spans="16:17" x14ac:dyDescent="0.25">
      <c r="P1202" s="358" t="s">
        <v>301</v>
      </c>
      <c r="Q1202" s="358" t="s">
        <v>1015</v>
      </c>
    </row>
    <row r="1203" spans="16:17" x14ac:dyDescent="0.25">
      <c r="P1203" s="358" t="s">
        <v>301</v>
      </c>
      <c r="Q1203" s="358" t="s">
        <v>1016</v>
      </c>
    </row>
    <row r="1204" spans="16:17" x14ac:dyDescent="0.25">
      <c r="P1204" s="358" t="s">
        <v>301</v>
      </c>
      <c r="Q1204" s="358" t="s">
        <v>1017</v>
      </c>
    </row>
    <row r="1205" spans="16:17" x14ac:dyDescent="0.25">
      <c r="P1205" s="358" t="s">
        <v>301</v>
      </c>
      <c r="Q1205" s="358" t="s">
        <v>1018</v>
      </c>
    </row>
    <row r="1206" spans="16:17" x14ac:dyDescent="0.25">
      <c r="P1206" s="358" t="s">
        <v>301</v>
      </c>
      <c r="Q1206" s="358" t="s">
        <v>585</v>
      </c>
    </row>
    <row r="1207" spans="16:17" x14ac:dyDescent="0.25">
      <c r="P1207" s="358" t="s">
        <v>301</v>
      </c>
      <c r="Q1207" s="358" t="s">
        <v>1019</v>
      </c>
    </row>
    <row r="1208" spans="16:17" x14ac:dyDescent="0.25">
      <c r="P1208" s="358" t="s">
        <v>301</v>
      </c>
      <c r="Q1208" s="358" t="s">
        <v>1020</v>
      </c>
    </row>
    <row r="1209" spans="16:17" x14ac:dyDescent="0.25">
      <c r="P1209" s="358" t="s">
        <v>301</v>
      </c>
      <c r="Q1209" s="358" t="s">
        <v>1164</v>
      </c>
    </row>
    <row r="1210" spans="16:17" x14ac:dyDescent="0.25">
      <c r="P1210" s="358" t="s">
        <v>301</v>
      </c>
      <c r="Q1210" s="358" t="s">
        <v>1021</v>
      </c>
    </row>
    <row r="1211" spans="16:17" x14ac:dyDescent="0.25">
      <c r="P1211" s="358" t="s">
        <v>301</v>
      </c>
      <c r="Q1211" s="358" t="s">
        <v>1022</v>
      </c>
    </row>
    <row r="1212" spans="16:17" x14ac:dyDescent="0.25">
      <c r="P1212" s="358" t="s">
        <v>301</v>
      </c>
      <c r="Q1212" s="358" t="s">
        <v>1165</v>
      </c>
    </row>
    <row r="1213" spans="16:17" x14ac:dyDescent="0.25">
      <c r="P1213" s="358" t="s">
        <v>301</v>
      </c>
      <c r="Q1213" s="358" t="s">
        <v>1023</v>
      </c>
    </row>
    <row r="1214" spans="16:17" x14ac:dyDescent="0.25">
      <c r="P1214" s="358" t="s">
        <v>301</v>
      </c>
      <c r="Q1214" s="358" t="s">
        <v>1024</v>
      </c>
    </row>
    <row r="1215" spans="16:17" x14ac:dyDescent="0.25">
      <c r="P1215" s="358" t="s">
        <v>301</v>
      </c>
      <c r="Q1215" s="358" t="s">
        <v>1025</v>
      </c>
    </row>
    <row r="1216" spans="16:17" x14ac:dyDescent="0.25">
      <c r="P1216" s="358" t="s">
        <v>301</v>
      </c>
      <c r="Q1216" s="358" t="s">
        <v>1026</v>
      </c>
    </row>
    <row r="1217" spans="16:17" x14ac:dyDescent="0.25">
      <c r="P1217" s="358" t="s">
        <v>301</v>
      </c>
      <c r="Q1217" s="358" t="s">
        <v>1027</v>
      </c>
    </row>
    <row r="1218" spans="16:17" x14ac:dyDescent="0.25">
      <c r="P1218" s="358" t="s">
        <v>301</v>
      </c>
      <c r="Q1218" s="358" t="s">
        <v>1028</v>
      </c>
    </row>
    <row r="1219" spans="16:17" x14ac:dyDescent="0.25">
      <c r="P1219" s="358" t="s">
        <v>301</v>
      </c>
      <c r="Q1219" s="358" t="s">
        <v>725</v>
      </c>
    </row>
    <row r="1220" spans="16:17" x14ac:dyDescent="0.25">
      <c r="P1220" s="358" t="s">
        <v>301</v>
      </c>
      <c r="Q1220" s="358" t="s">
        <v>1174</v>
      </c>
    </row>
    <row r="1221" spans="16:17" x14ac:dyDescent="0.25">
      <c r="P1221" s="358" t="s">
        <v>301</v>
      </c>
      <c r="Q1221" s="358" t="s">
        <v>1175</v>
      </c>
    </row>
    <row r="1222" spans="16:17" x14ac:dyDescent="0.25">
      <c r="P1222" s="358" t="s">
        <v>301</v>
      </c>
      <c r="Q1222" s="358" t="s">
        <v>782</v>
      </c>
    </row>
    <row r="1223" spans="16:17" x14ac:dyDescent="0.25">
      <c r="P1223" s="358" t="s">
        <v>301</v>
      </c>
      <c r="Q1223" s="358" t="s">
        <v>1176</v>
      </c>
    </row>
    <row r="1224" spans="16:17" x14ac:dyDescent="0.25">
      <c r="P1224" s="358" t="s">
        <v>301</v>
      </c>
      <c r="Q1224" s="358" t="s">
        <v>1177</v>
      </c>
    </row>
    <row r="1225" spans="16:17" x14ac:dyDescent="0.25">
      <c r="P1225" s="358" t="s">
        <v>301</v>
      </c>
      <c r="Q1225" s="358" t="s">
        <v>1178</v>
      </c>
    </row>
    <row r="1226" spans="16:17" x14ac:dyDescent="0.25">
      <c r="P1226" s="358" t="s">
        <v>301</v>
      </c>
      <c r="Q1226" s="358" t="s">
        <v>1179</v>
      </c>
    </row>
    <row r="1227" spans="16:17" x14ac:dyDescent="0.25">
      <c r="P1227" s="358" t="s">
        <v>301</v>
      </c>
      <c r="Q1227" s="358" t="s">
        <v>1180</v>
      </c>
    </row>
    <row r="1228" spans="16:17" x14ac:dyDescent="0.25">
      <c r="P1228" s="358" t="s">
        <v>301</v>
      </c>
      <c r="Q1228" s="358" t="s">
        <v>1181</v>
      </c>
    </row>
    <row r="1229" spans="16:17" x14ac:dyDescent="0.25">
      <c r="P1229" s="358" t="s">
        <v>301</v>
      </c>
      <c r="Q1229" s="358" t="s">
        <v>200</v>
      </c>
    </row>
    <row r="1230" spans="16:17" x14ac:dyDescent="0.25">
      <c r="P1230" s="358" t="s">
        <v>301</v>
      </c>
      <c r="Q1230" s="358" t="s">
        <v>948</v>
      </c>
    </row>
    <row r="1231" spans="16:17" x14ac:dyDescent="0.25">
      <c r="P1231" s="358" t="s">
        <v>301</v>
      </c>
      <c r="Q1231" s="358" t="s">
        <v>784</v>
      </c>
    </row>
    <row r="1232" spans="16:17" x14ac:dyDescent="0.25">
      <c r="P1232" s="358" t="s">
        <v>301</v>
      </c>
      <c r="Q1232" s="358" t="s">
        <v>949</v>
      </c>
    </row>
    <row r="1233" spans="16:17" x14ac:dyDescent="0.25">
      <c r="P1233" s="358" t="s">
        <v>301</v>
      </c>
      <c r="Q1233" s="358" t="s">
        <v>1182</v>
      </c>
    </row>
    <row r="1234" spans="16:17" x14ac:dyDescent="0.25">
      <c r="P1234" s="358" t="s">
        <v>301</v>
      </c>
      <c r="Q1234" s="358" t="s">
        <v>1183</v>
      </c>
    </row>
    <row r="1235" spans="16:17" x14ac:dyDescent="0.25">
      <c r="P1235" s="358" t="s">
        <v>301</v>
      </c>
      <c r="Q1235" s="358" t="s">
        <v>950</v>
      </c>
    </row>
    <row r="1236" spans="16:17" x14ac:dyDescent="0.25">
      <c r="P1236" s="358" t="s">
        <v>301</v>
      </c>
      <c r="Q1236" s="358" t="s">
        <v>1184</v>
      </c>
    </row>
    <row r="1237" spans="16:17" x14ac:dyDescent="0.25">
      <c r="P1237" s="358" t="s">
        <v>301</v>
      </c>
      <c r="Q1237" s="358" t="s">
        <v>951</v>
      </c>
    </row>
    <row r="1238" spans="16:17" x14ac:dyDescent="0.25">
      <c r="P1238" s="358" t="s">
        <v>301</v>
      </c>
      <c r="Q1238" s="358" t="s">
        <v>1185</v>
      </c>
    </row>
    <row r="1239" spans="16:17" x14ac:dyDescent="0.25">
      <c r="P1239" s="358" t="s">
        <v>301</v>
      </c>
      <c r="Q1239" s="359" t="s">
        <v>952</v>
      </c>
    </row>
    <row r="1240" spans="16:17" x14ac:dyDescent="0.25">
      <c r="P1240" s="358" t="s">
        <v>301</v>
      </c>
      <c r="Q1240" s="358" t="s">
        <v>1186</v>
      </c>
    </row>
    <row r="1241" spans="16:17" x14ac:dyDescent="0.25">
      <c r="P1241" s="358" t="s">
        <v>301</v>
      </c>
      <c r="Q1241" s="358" t="s">
        <v>934</v>
      </c>
    </row>
    <row r="1242" spans="16:17" x14ac:dyDescent="0.25">
      <c r="P1242" s="358" t="s">
        <v>301</v>
      </c>
      <c r="Q1242" s="358" t="s">
        <v>935</v>
      </c>
    </row>
    <row r="1243" spans="16:17" x14ac:dyDescent="0.25">
      <c r="P1243" s="358" t="s">
        <v>304</v>
      </c>
      <c r="Q1243" s="359" t="s">
        <v>757</v>
      </c>
    </row>
    <row r="1244" spans="16:17" x14ac:dyDescent="0.25">
      <c r="P1244" s="358" t="s">
        <v>505</v>
      </c>
      <c r="Q1244" s="358" t="s">
        <v>953</v>
      </c>
    </row>
    <row r="1245" spans="16:17" x14ac:dyDescent="0.25">
      <c r="P1245" s="358" t="s">
        <v>305</v>
      </c>
      <c r="Q1245" s="358" t="s">
        <v>913</v>
      </c>
    </row>
    <row r="1246" spans="16:17" x14ac:dyDescent="0.25">
      <c r="P1246" s="358" t="s">
        <v>305</v>
      </c>
      <c r="Q1246" s="358" t="s">
        <v>737</v>
      </c>
    </row>
    <row r="1247" spans="16:17" x14ac:dyDescent="0.25">
      <c r="P1247" s="358" t="s">
        <v>305</v>
      </c>
      <c r="Q1247" s="358" t="s">
        <v>190</v>
      </c>
    </row>
    <row r="1248" spans="16:17" x14ac:dyDescent="0.25">
      <c r="P1248" s="358" t="s">
        <v>305</v>
      </c>
      <c r="Q1248" s="358" t="s">
        <v>191</v>
      </c>
    </row>
    <row r="1249" spans="16:17" x14ac:dyDescent="0.25">
      <c r="P1249" s="358" t="s">
        <v>305</v>
      </c>
      <c r="Q1249" s="358" t="s">
        <v>192</v>
      </c>
    </row>
    <row r="1250" spans="16:17" x14ac:dyDescent="0.25">
      <c r="P1250" s="358" t="s">
        <v>305</v>
      </c>
      <c r="Q1250" s="358" t="s">
        <v>193</v>
      </c>
    </row>
    <row r="1251" spans="16:17" x14ac:dyDescent="0.25">
      <c r="P1251" s="358" t="s">
        <v>503</v>
      </c>
      <c r="Q1251" s="358" t="s">
        <v>1083</v>
      </c>
    </row>
    <row r="1252" spans="16:17" x14ac:dyDescent="0.25">
      <c r="P1252" s="358" t="s">
        <v>504</v>
      </c>
      <c r="Q1252" s="358" t="s">
        <v>1061</v>
      </c>
    </row>
    <row r="1253" spans="16:17" x14ac:dyDescent="0.25">
      <c r="P1253" s="358" t="s">
        <v>306</v>
      </c>
      <c r="Q1253" s="358" t="s">
        <v>914</v>
      </c>
    </row>
    <row r="1254" spans="16:17" x14ac:dyDescent="0.25">
      <c r="P1254" s="358" t="s">
        <v>306</v>
      </c>
      <c r="Q1254" s="358" t="s">
        <v>189</v>
      </c>
    </row>
    <row r="1255" spans="16:17" x14ac:dyDescent="0.25">
      <c r="P1255" s="358" t="s">
        <v>571</v>
      </c>
      <c r="Q1255" s="358" t="s">
        <v>934</v>
      </c>
    </row>
    <row r="1256" spans="16:17" x14ac:dyDescent="0.25">
      <c r="P1256" s="358" t="s">
        <v>571</v>
      </c>
      <c r="Q1256" s="358" t="s">
        <v>935</v>
      </c>
    </row>
    <row r="1257" spans="16:17" x14ac:dyDescent="0.25">
      <c r="P1257" s="358" t="s">
        <v>506</v>
      </c>
      <c r="Q1257" s="358" t="s">
        <v>625</v>
      </c>
    </row>
    <row r="1258" spans="16:17" x14ac:dyDescent="0.25">
      <c r="P1258" s="358" t="s">
        <v>506</v>
      </c>
      <c r="Q1258" s="358" t="s">
        <v>738</v>
      </c>
    </row>
    <row r="1259" spans="16:17" x14ac:dyDescent="0.25">
      <c r="P1259" s="358" t="s">
        <v>308</v>
      </c>
      <c r="Q1259" s="358" t="s">
        <v>635</v>
      </c>
    </row>
    <row r="1260" spans="16:17" x14ac:dyDescent="0.25">
      <c r="P1260" s="358" t="s">
        <v>308</v>
      </c>
      <c r="Q1260" s="358" t="s">
        <v>636</v>
      </c>
    </row>
    <row r="1261" spans="16:17" x14ac:dyDescent="0.25">
      <c r="P1261" s="358" t="s">
        <v>308</v>
      </c>
      <c r="Q1261" s="358" t="s">
        <v>637</v>
      </c>
    </row>
    <row r="1262" spans="16:17" x14ac:dyDescent="0.25">
      <c r="P1262" s="358" t="s">
        <v>309</v>
      </c>
      <c r="Q1262" s="358" t="s">
        <v>1029</v>
      </c>
    </row>
    <row r="1263" spans="16:17" x14ac:dyDescent="0.25">
      <c r="P1263" s="358" t="s">
        <v>309</v>
      </c>
      <c r="Q1263" s="358" t="s">
        <v>1030</v>
      </c>
    </row>
    <row r="1264" spans="16:17" x14ac:dyDescent="0.25">
      <c r="P1264" s="358" t="s">
        <v>309</v>
      </c>
      <c r="Q1264" s="358" t="s">
        <v>915</v>
      </c>
    </row>
    <row r="1265" spans="16:17" x14ac:dyDescent="0.25">
      <c r="P1265" s="358" t="s">
        <v>309</v>
      </c>
      <c r="Q1265" s="358" t="s">
        <v>729</v>
      </c>
    </row>
    <row r="1266" spans="16:17" x14ac:dyDescent="0.25">
      <c r="P1266" s="358" t="s">
        <v>309</v>
      </c>
      <c r="Q1266" s="358" t="s">
        <v>730</v>
      </c>
    </row>
    <row r="1267" spans="16:17" x14ac:dyDescent="0.25">
      <c r="P1267" s="358" t="s">
        <v>309</v>
      </c>
      <c r="Q1267" s="358" t="s">
        <v>189</v>
      </c>
    </row>
    <row r="1268" spans="16:17" x14ac:dyDescent="0.25">
      <c r="P1268" s="358" t="s">
        <v>309</v>
      </c>
      <c r="Q1268" s="358" t="s">
        <v>731</v>
      </c>
    </row>
    <row r="1269" spans="16:17" x14ac:dyDescent="0.25">
      <c r="P1269" s="358" t="s">
        <v>309</v>
      </c>
      <c r="Q1269" s="358" t="s">
        <v>732</v>
      </c>
    </row>
    <row r="1270" spans="16:17" x14ac:dyDescent="0.25">
      <c r="P1270" s="358" t="s">
        <v>309</v>
      </c>
      <c r="Q1270" s="358" t="s">
        <v>733</v>
      </c>
    </row>
    <row r="1271" spans="16:17" x14ac:dyDescent="0.25">
      <c r="P1271" s="358" t="s">
        <v>309</v>
      </c>
      <c r="Q1271" s="358" t="s">
        <v>734</v>
      </c>
    </row>
    <row r="1272" spans="16:17" x14ac:dyDescent="0.25">
      <c r="P1272" s="358" t="s">
        <v>309</v>
      </c>
      <c r="Q1272" s="358" t="s">
        <v>735</v>
      </c>
    </row>
    <row r="1273" spans="16:17" x14ac:dyDescent="0.25">
      <c r="P1273" s="358" t="s">
        <v>309</v>
      </c>
      <c r="Q1273" s="358" t="s">
        <v>736</v>
      </c>
    </row>
    <row r="1274" spans="16:17" x14ac:dyDescent="0.25">
      <c r="P1274" s="358" t="s">
        <v>310</v>
      </c>
      <c r="Q1274" s="358" t="s">
        <v>676</v>
      </c>
    </row>
    <row r="1275" spans="16:17" x14ac:dyDescent="0.25">
      <c r="P1275" s="358" t="s">
        <v>310</v>
      </c>
      <c r="Q1275" s="358" t="s">
        <v>678</v>
      </c>
    </row>
    <row r="1276" spans="16:17" x14ac:dyDescent="0.25">
      <c r="P1276" s="358" t="s">
        <v>310</v>
      </c>
      <c r="Q1276" s="358" t="s">
        <v>695</v>
      </c>
    </row>
    <row r="1277" spans="16:17" x14ac:dyDescent="0.25">
      <c r="P1277" s="358" t="s">
        <v>464</v>
      </c>
      <c r="Q1277" s="358" t="s">
        <v>1093</v>
      </c>
    </row>
    <row r="1278" spans="16:17" x14ac:dyDescent="0.25">
      <c r="P1278" s="358" t="s">
        <v>1154</v>
      </c>
      <c r="Q1278" s="358" t="s">
        <v>143</v>
      </c>
    </row>
    <row r="1279" spans="16:17" x14ac:dyDescent="0.25">
      <c r="P1279" s="358" t="s">
        <v>1155</v>
      </c>
      <c r="Q1279" s="358" t="s">
        <v>144</v>
      </c>
    </row>
    <row r="1280" spans="16:17" x14ac:dyDescent="0.25">
      <c r="P1280" s="358" t="s">
        <v>1156</v>
      </c>
      <c r="Q1280" s="358" t="s">
        <v>144</v>
      </c>
    </row>
    <row r="1281" spans="16:17" x14ac:dyDescent="0.25">
      <c r="P1281" s="358" t="s">
        <v>1156</v>
      </c>
      <c r="Q1281" s="358" t="s">
        <v>145</v>
      </c>
    </row>
    <row r="1282" spans="16:17" x14ac:dyDescent="0.25">
      <c r="P1282" s="358" t="s">
        <v>385</v>
      </c>
      <c r="Q1282" s="358" t="s">
        <v>151</v>
      </c>
    </row>
    <row r="1283" spans="16:17" x14ac:dyDescent="0.25">
      <c r="P1283" s="358" t="s">
        <v>291</v>
      </c>
      <c r="Q1283" s="358" t="s">
        <v>922</v>
      </c>
    </row>
    <row r="1284" spans="16:17" x14ac:dyDescent="0.25">
      <c r="P1284" s="358" t="s">
        <v>292</v>
      </c>
      <c r="Q1284" s="358" t="s">
        <v>922</v>
      </c>
    </row>
    <row r="1285" spans="16:17" x14ac:dyDescent="0.25">
      <c r="P1285" s="358" t="s">
        <v>1157</v>
      </c>
      <c r="Q1285" s="358" t="s">
        <v>171</v>
      </c>
    </row>
    <row r="1286" spans="16:17" x14ac:dyDescent="0.25">
      <c r="P1286" s="358" t="s">
        <v>1157</v>
      </c>
      <c r="Q1286" s="358" t="s">
        <v>619</v>
      </c>
    </row>
    <row r="1287" spans="16:17" x14ac:dyDescent="0.25">
      <c r="P1287" s="358" t="s">
        <v>1158</v>
      </c>
      <c r="Q1287" s="358" t="s">
        <v>171</v>
      </c>
    </row>
    <row r="1288" spans="16:17" x14ac:dyDescent="0.25">
      <c r="P1288" s="358" t="s">
        <v>1158</v>
      </c>
      <c r="Q1288" s="358" t="s">
        <v>619</v>
      </c>
    </row>
    <row r="1289" spans="16:17" x14ac:dyDescent="0.25">
      <c r="P1289" s="358" t="s">
        <v>386</v>
      </c>
      <c r="Q1289" s="358" t="s">
        <v>171</v>
      </c>
    </row>
    <row r="1290" spans="16:17" x14ac:dyDescent="0.25">
      <c r="P1290" s="358" t="s">
        <v>386</v>
      </c>
      <c r="Q1290" s="358" t="s">
        <v>843</v>
      </c>
    </row>
    <row r="1291" spans="16:17" x14ac:dyDescent="0.25">
      <c r="P1291" s="358" t="s">
        <v>387</v>
      </c>
      <c r="Q1291" s="358" t="s">
        <v>171</v>
      </c>
    </row>
    <row r="1292" spans="16:17" x14ac:dyDescent="0.25">
      <c r="P1292" s="358" t="s">
        <v>387</v>
      </c>
      <c r="Q1292" s="358" t="s">
        <v>843</v>
      </c>
    </row>
    <row r="1293" spans="16:17" x14ac:dyDescent="0.25">
      <c r="P1293" s="358" t="s">
        <v>1031</v>
      </c>
      <c r="Q1293" s="358" t="s">
        <v>922</v>
      </c>
    </row>
    <row r="1294" spans="16:17" x14ac:dyDescent="0.25">
      <c r="P1294" s="358" t="s">
        <v>1032</v>
      </c>
      <c r="Q1294" s="358" t="s">
        <v>922</v>
      </c>
    </row>
    <row r="1295" spans="16:17" x14ac:dyDescent="0.25">
      <c r="P1295" s="358" t="s">
        <v>388</v>
      </c>
      <c r="Q1295" s="358" t="s">
        <v>846</v>
      </c>
    </row>
    <row r="1296" spans="16:17" x14ac:dyDescent="0.25">
      <c r="P1296" s="358" t="s">
        <v>388</v>
      </c>
      <c r="Q1296" s="358" t="s">
        <v>847</v>
      </c>
    </row>
    <row r="1297" spans="16:17" x14ac:dyDescent="0.25">
      <c r="P1297" s="358" t="s">
        <v>388</v>
      </c>
      <c r="Q1297" s="358" t="s">
        <v>848</v>
      </c>
    </row>
    <row r="1298" spans="16:17" x14ac:dyDescent="0.25">
      <c r="P1298" s="358" t="s">
        <v>388</v>
      </c>
      <c r="Q1298" s="358" t="s">
        <v>849</v>
      </c>
    </row>
    <row r="1299" spans="16:17" x14ac:dyDescent="0.25">
      <c r="P1299" s="358" t="s">
        <v>388</v>
      </c>
      <c r="Q1299" s="358" t="s">
        <v>850</v>
      </c>
    </row>
    <row r="1300" spans="16:17" x14ac:dyDescent="0.25">
      <c r="P1300" s="358" t="s">
        <v>388</v>
      </c>
      <c r="Q1300" s="358" t="s">
        <v>851</v>
      </c>
    </row>
    <row r="1301" spans="16:17" x14ac:dyDescent="0.25">
      <c r="P1301" s="358" t="s">
        <v>388</v>
      </c>
      <c r="Q1301" s="358" t="s">
        <v>852</v>
      </c>
    </row>
    <row r="1302" spans="16:17" x14ac:dyDescent="0.25">
      <c r="P1302" s="358" t="s">
        <v>388</v>
      </c>
      <c r="Q1302" s="358" t="s">
        <v>1034</v>
      </c>
    </row>
    <row r="1303" spans="16:17" x14ac:dyDescent="0.25">
      <c r="P1303" s="358" t="s">
        <v>389</v>
      </c>
      <c r="Q1303" s="358" t="s">
        <v>846</v>
      </c>
    </row>
    <row r="1304" spans="16:17" x14ac:dyDescent="0.25">
      <c r="P1304" s="358" t="s">
        <v>389</v>
      </c>
      <c r="Q1304" s="358" t="s">
        <v>847</v>
      </c>
    </row>
    <row r="1305" spans="16:17" x14ac:dyDescent="0.25">
      <c r="P1305" s="358" t="s">
        <v>389</v>
      </c>
      <c r="Q1305" s="358" t="s">
        <v>848</v>
      </c>
    </row>
    <row r="1306" spans="16:17" x14ac:dyDescent="0.25">
      <c r="P1306" s="358" t="s">
        <v>389</v>
      </c>
      <c r="Q1306" s="358" t="s">
        <v>849</v>
      </c>
    </row>
    <row r="1307" spans="16:17" x14ac:dyDescent="0.25">
      <c r="P1307" s="358" t="s">
        <v>389</v>
      </c>
      <c r="Q1307" s="358" t="s">
        <v>850</v>
      </c>
    </row>
    <row r="1308" spans="16:17" x14ac:dyDescent="0.25">
      <c r="P1308" s="358" t="s">
        <v>389</v>
      </c>
      <c r="Q1308" s="358" t="s">
        <v>851</v>
      </c>
    </row>
    <row r="1309" spans="16:17" x14ac:dyDescent="0.25">
      <c r="P1309" s="358" t="s">
        <v>389</v>
      </c>
      <c r="Q1309" s="358" t="s">
        <v>852</v>
      </c>
    </row>
    <row r="1310" spans="16:17" x14ac:dyDescent="0.25">
      <c r="P1310" s="358" t="s">
        <v>389</v>
      </c>
      <c r="Q1310" s="358" t="s">
        <v>1033</v>
      </c>
    </row>
    <row r="1311" spans="16:17" x14ac:dyDescent="0.25">
      <c r="P1311" s="358" t="s">
        <v>389</v>
      </c>
      <c r="Q1311" s="358" t="s">
        <v>1034</v>
      </c>
    </row>
    <row r="1312" spans="16:17" x14ac:dyDescent="0.25">
      <c r="P1312" s="358" t="s">
        <v>389</v>
      </c>
      <c r="Q1312" s="359" t="s">
        <v>923</v>
      </c>
    </row>
    <row r="1313" spans="16:17" x14ac:dyDescent="0.25">
      <c r="P1313" s="358" t="s">
        <v>186</v>
      </c>
      <c r="Q1313" s="358" t="s">
        <v>186</v>
      </c>
    </row>
    <row r="1314" spans="16:17" x14ac:dyDescent="0.25">
      <c r="P1314" s="358" t="s">
        <v>187</v>
      </c>
      <c r="Q1314" s="358" t="s">
        <v>187</v>
      </c>
    </row>
    <row r="1315" spans="16:17" x14ac:dyDescent="0.25">
      <c r="P1315" s="358" t="s">
        <v>507</v>
      </c>
      <c r="Q1315" s="358" t="s">
        <v>738</v>
      </c>
    </row>
    <row r="1316" spans="16:17" x14ac:dyDescent="0.25">
      <c r="P1316" s="358" t="s">
        <v>311</v>
      </c>
      <c r="Q1316" s="358" t="s">
        <v>913</v>
      </c>
    </row>
    <row r="1317" spans="16:17" x14ac:dyDescent="0.25">
      <c r="P1317" s="358" t="s">
        <v>311</v>
      </c>
      <c r="Q1317" s="358" t="s">
        <v>737</v>
      </c>
    </row>
    <row r="1318" spans="16:17" x14ac:dyDescent="0.25">
      <c r="P1318" s="358" t="s">
        <v>311</v>
      </c>
      <c r="Q1318" s="358" t="s">
        <v>190</v>
      </c>
    </row>
    <row r="1319" spans="16:17" x14ac:dyDescent="0.25">
      <c r="P1319" s="358" t="s">
        <v>311</v>
      </c>
      <c r="Q1319" s="358" t="s">
        <v>191</v>
      </c>
    </row>
    <row r="1320" spans="16:17" x14ac:dyDescent="0.25">
      <c r="P1320" s="358" t="s">
        <v>311</v>
      </c>
      <c r="Q1320" s="358" t="s">
        <v>192</v>
      </c>
    </row>
    <row r="1321" spans="16:17" x14ac:dyDescent="0.25">
      <c r="P1321" s="358" t="s">
        <v>311</v>
      </c>
      <c r="Q1321" s="358" t="s">
        <v>193</v>
      </c>
    </row>
    <row r="1322" spans="16:17" x14ac:dyDescent="0.25">
      <c r="P1322" s="358" t="s">
        <v>508</v>
      </c>
      <c r="Q1322" s="358" t="s">
        <v>1083</v>
      </c>
    </row>
    <row r="1323" spans="16:17" x14ac:dyDescent="0.25">
      <c r="P1323" s="358" t="e">
        <v>#N/A</v>
      </c>
      <c r="Q1323" s="359" t="s">
        <v>1085</v>
      </c>
    </row>
    <row r="1324" spans="16:17" x14ac:dyDescent="0.25">
      <c r="P1324" s="358" t="s">
        <v>509</v>
      </c>
      <c r="Q1324" s="358" t="s">
        <v>1061</v>
      </c>
    </row>
    <row r="1325" spans="16:17" x14ac:dyDescent="0.25">
      <c r="P1325" s="358" t="s">
        <v>313</v>
      </c>
      <c r="Q1325" s="358" t="s">
        <v>694</v>
      </c>
    </row>
    <row r="1326" spans="16:17" x14ac:dyDescent="0.25">
      <c r="P1326" s="358" t="s">
        <v>312</v>
      </c>
      <c r="Q1326" s="358" t="s">
        <v>914</v>
      </c>
    </row>
    <row r="1327" spans="16:17" x14ac:dyDescent="0.25">
      <c r="P1327" s="358" t="s">
        <v>312</v>
      </c>
      <c r="Q1327" s="358" t="s">
        <v>1126</v>
      </c>
    </row>
    <row r="1328" spans="16:17" x14ac:dyDescent="0.25">
      <c r="P1328" s="358" t="s">
        <v>312</v>
      </c>
      <c r="Q1328" s="358" t="s">
        <v>189</v>
      </c>
    </row>
    <row r="1329" spans="16:17" x14ac:dyDescent="0.25">
      <c r="P1329" s="367" t="s">
        <v>1285</v>
      </c>
      <c r="Q1329" s="462" t="s">
        <v>1089</v>
      </c>
    </row>
    <row r="1330" spans="16:17" x14ac:dyDescent="0.25">
      <c r="P1330" s="358" t="s">
        <v>572</v>
      </c>
      <c r="Q1330" s="358" t="s">
        <v>1035</v>
      </c>
    </row>
    <row r="1331" spans="16:17" x14ac:dyDescent="0.25">
      <c r="P1331" s="358" t="s">
        <v>572</v>
      </c>
      <c r="Q1331" s="358" t="s">
        <v>1036</v>
      </c>
    </row>
    <row r="1332" spans="16:17" x14ac:dyDescent="0.25">
      <c r="P1332" s="358" t="s">
        <v>510</v>
      </c>
      <c r="Q1332" s="358" t="s">
        <v>625</v>
      </c>
    </row>
    <row r="1333" spans="16:17" x14ac:dyDescent="0.25">
      <c r="P1333" s="358" t="s">
        <v>314</v>
      </c>
      <c r="Q1333" s="358" t="s">
        <v>635</v>
      </c>
    </row>
    <row r="1334" spans="16:17" x14ac:dyDescent="0.25">
      <c r="P1334" s="358" t="s">
        <v>314</v>
      </c>
      <c r="Q1334" s="358" t="s">
        <v>636</v>
      </c>
    </row>
    <row r="1335" spans="16:17" x14ac:dyDescent="0.25">
      <c r="P1335" s="358" t="s">
        <v>314</v>
      </c>
      <c r="Q1335" s="358" t="s">
        <v>637</v>
      </c>
    </row>
    <row r="1336" spans="16:17" x14ac:dyDescent="0.25">
      <c r="P1336" s="358" t="s">
        <v>315</v>
      </c>
      <c r="Q1336" s="358" t="s">
        <v>1035</v>
      </c>
    </row>
    <row r="1337" spans="16:17" x14ac:dyDescent="0.25">
      <c r="P1337" s="358" t="s">
        <v>315</v>
      </c>
      <c r="Q1337" s="358" t="s">
        <v>1036</v>
      </c>
    </row>
    <row r="1338" spans="16:17" x14ac:dyDescent="0.25">
      <c r="P1338" s="358" t="s">
        <v>315</v>
      </c>
      <c r="Q1338" s="358" t="s">
        <v>769</v>
      </c>
    </row>
    <row r="1339" spans="16:17" x14ac:dyDescent="0.25">
      <c r="P1339" s="358" t="s">
        <v>315</v>
      </c>
      <c r="Q1339" s="358" t="s">
        <v>770</v>
      </c>
    </row>
    <row r="1340" spans="16:17" x14ac:dyDescent="0.25">
      <c r="P1340" s="358" t="s">
        <v>315</v>
      </c>
      <c r="Q1340" s="358" t="s">
        <v>771</v>
      </c>
    </row>
    <row r="1341" spans="16:17" x14ac:dyDescent="0.25">
      <c r="P1341" s="358" t="s">
        <v>315</v>
      </c>
      <c r="Q1341" s="358" t="s">
        <v>772</v>
      </c>
    </row>
    <row r="1342" spans="16:17" x14ac:dyDescent="0.25">
      <c r="P1342" s="358" t="s">
        <v>316</v>
      </c>
      <c r="Q1342" s="358" t="s">
        <v>664</v>
      </c>
    </row>
    <row r="1343" spans="16:17" x14ac:dyDescent="0.25">
      <c r="P1343" s="358" t="s">
        <v>316</v>
      </c>
      <c r="Q1343" s="358" t="s">
        <v>665</v>
      </c>
    </row>
    <row r="1344" spans="16:17" x14ac:dyDescent="0.25">
      <c r="P1344" s="358" t="s">
        <v>316</v>
      </c>
      <c r="Q1344" s="358" t="s">
        <v>673</v>
      </c>
    </row>
    <row r="1345" spans="16:17" x14ac:dyDescent="0.25">
      <c r="P1345" s="358" t="s">
        <v>316</v>
      </c>
      <c r="Q1345" s="358" t="s">
        <v>689</v>
      </c>
    </row>
    <row r="1346" spans="16:17" x14ac:dyDescent="0.25">
      <c r="P1346" s="358" t="s">
        <v>316</v>
      </c>
      <c r="Q1346" s="358" t="s">
        <v>690</v>
      </c>
    </row>
    <row r="1347" spans="16:17" x14ac:dyDescent="0.25">
      <c r="P1347" s="358" t="s">
        <v>316</v>
      </c>
      <c r="Q1347" s="358" t="s">
        <v>691</v>
      </c>
    </row>
    <row r="1348" spans="16:17" x14ac:dyDescent="0.25">
      <c r="P1348" s="358" t="s">
        <v>316</v>
      </c>
      <c r="Q1348" s="358" t="s">
        <v>692</v>
      </c>
    </row>
    <row r="1349" spans="16:17" x14ac:dyDescent="0.25">
      <c r="P1349" s="358" t="s">
        <v>395</v>
      </c>
      <c r="Q1349" s="358" t="s">
        <v>870</v>
      </c>
    </row>
    <row r="1350" spans="16:17" x14ac:dyDescent="0.25">
      <c r="P1350" s="358" t="s">
        <v>395</v>
      </c>
      <c r="Q1350" s="358" t="s">
        <v>612</v>
      </c>
    </row>
    <row r="1351" spans="16:17" x14ac:dyDescent="0.25">
      <c r="P1351" s="358" t="s">
        <v>397</v>
      </c>
      <c r="Q1351" s="358" t="s">
        <v>611</v>
      </c>
    </row>
    <row r="1352" spans="16:17" x14ac:dyDescent="0.25">
      <c r="P1352" s="358" t="s">
        <v>397</v>
      </c>
      <c r="Q1352" s="358" t="s">
        <v>1096</v>
      </c>
    </row>
    <row r="1353" spans="16:17" x14ac:dyDescent="0.25">
      <c r="P1353" s="358" t="s">
        <v>396</v>
      </c>
      <c r="Q1353" s="358" t="s">
        <v>1037</v>
      </c>
    </row>
    <row r="1354" spans="16:17" x14ac:dyDescent="0.25">
      <c r="P1354" s="358" t="s">
        <v>396</v>
      </c>
      <c r="Q1354" s="358" t="s">
        <v>1038</v>
      </c>
    </row>
    <row r="1355" spans="16:17" x14ac:dyDescent="0.25">
      <c r="P1355" s="358" t="s">
        <v>396</v>
      </c>
      <c r="Q1355" s="358" t="s">
        <v>1039</v>
      </c>
    </row>
    <row r="1356" spans="16:17" x14ac:dyDescent="0.25">
      <c r="P1356" s="358" t="s">
        <v>318</v>
      </c>
      <c r="Q1356" s="367" t="s">
        <v>757</v>
      </c>
    </row>
    <row r="1357" spans="16:17" x14ac:dyDescent="0.25">
      <c r="P1357" s="358" t="s">
        <v>807</v>
      </c>
      <c r="Q1357" s="358" t="s">
        <v>1063</v>
      </c>
    </row>
    <row r="1358" spans="16:17" x14ac:dyDescent="0.25">
      <c r="P1358" s="358" t="s">
        <v>806</v>
      </c>
      <c r="Q1358" s="358" t="s">
        <v>1063</v>
      </c>
    </row>
    <row r="1359" spans="16:17" x14ac:dyDescent="0.25">
      <c r="P1359" s="358" t="s">
        <v>573</v>
      </c>
      <c r="Q1359" s="358" t="s">
        <v>904</v>
      </c>
    </row>
    <row r="1360" spans="16:17" x14ac:dyDescent="0.25">
      <c r="P1360" s="358" t="s">
        <v>319</v>
      </c>
      <c r="Q1360" s="358" t="s">
        <v>199</v>
      </c>
    </row>
    <row r="1361" spans="16:17" x14ac:dyDescent="0.25">
      <c r="P1361" s="358" t="s">
        <v>320</v>
      </c>
      <c r="Q1361" s="358" t="s">
        <v>867</v>
      </c>
    </row>
    <row r="1362" spans="16:17" x14ac:dyDescent="0.25">
      <c r="P1362" s="358" t="s">
        <v>320</v>
      </c>
      <c r="Q1362" s="358" t="s">
        <v>593</v>
      </c>
    </row>
    <row r="1363" spans="16:17" x14ac:dyDescent="0.25">
      <c r="P1363" s="358" t="s">
        <v>320</v>
      </c>
      <c r="Q1363" s="358" t="s">
        <v>153</v>
      </c>
    </row>
    <row r="1364" spans="16:17" x14ac:dyDescent="0.25">
      <c r="P1364" s="358" t="s">
        <v>320</v>
      </c>
      <c r="Q1364" s="358" t="s">
        <v>154</v>
      </c>
    </row>
    <row r="1365" spans="16:17" x14ac:dyDescent="0.25">
      <c r="P1365" s="358" t="s">
        <v>320</v>
      </c>
      <c r="Q1365" s="358" t="s">
        <v>155</v>
      </c>
    </row>
    <row r="1366" spans="16:17" x14ac:dyDescent="0.25">
      <c r="P1366" s="358" t="s">
        <v>320</v>
      </c>
      <c r="Q1366" s="358" t="s">
        <v>156</v>
      </c>
    </row>
    <row r="1367" spans="16:17" x14ac:dyDescent="0.25">
      <c r="P1367" s="358" t="s">
        <v>320</v>
      </c>
      <c r="Q1367" s="358" t="s">
        <v>904</v>
      </c>
    </row>
    <row r="1368" spans="16:17" x14ac:dyDescent="0.25">
      <c r="P1368" s="358" t="s">
        <v>320</v>
      </c>
      <c r="Q1368" s="358" t="s">
        <v>905</v>
      </c>
    </row>
    <row r="1369" spans="16:17" x14ac:dyDescent="0.25">
      <c r="P1369" s="358" t="s">
        <v>320</v>
      </c>
      <c r="Q1369" s="358" t="s">
        <v>906</v>
      </c>
    </row>
    <row r="1370" spans="16:17" x14ac:dyDescent="0.25">
      <c r="P1370" s="358" t="s">
        <v>320</v>
      </c>
      <c r="Q1370" s="358" t="s">
        <v>907</v>
      </c>
    </row>
    <row r="1371" spans="16:17" x14ac:dyDescent="0.25">
      <c r="P1371" s="358" t="s">
        <v>320</v>
      </c>
      <c r="Q1371" s="358" t="s">
        <v>908</v>
      </c>
    </row>
    <row r="1372" spans="16:17" x14ac:dyDescent="0.25">
      <c r="P1372" s="358" t="s">
        <v>1159</v>
      </c>
      <c r="Q1372" s="367" t="s">
        <v>169</v>
      </c>
    </row>
    <row r="1373" spans="16:17" x14ac:dyDescent="0.25">
      <c r="P1373" s="358" t="s">
        <v>328</v>
      </c>
      <c r="Q1373" s="358" t="s">
        <v>1040</v>
      </c>
    </row>
    <row r="1374" spans="16:17" x14ac:dyDescent="0.25">
      <c r="P1374" s="358" t="s">
        <v>328</v>
      </c>
      <c r="Q1374" s="358" t="s">
        <v>1041</v>
      </c>
    </row>
    <row r="1375" spans="16:17" x14ac:dyDescent="0.25">
      <c r="P1375" s="358" t="s">
        <v>399</v>
      </c>
      <c r="Q1375" s="358" t="s">
        <v>241</v>
      </c>
    </row>
    <row r="1376" spans="16:17" x14ac:dyDescent="0.25">
      <c r="P1376" s="358" t="s">
        <v>399</v>
      </c>
      <c r="Q1376" s="358" t="s">
        <v>1042</v>
      </c>
    </row>
    <row r="1377" spans="16:17" x14ac:dyDescent="0.25">
      <c r="P1377" s="358" t="s">
        <v>329</v>
      </c>
      <c r="Q1377" s="358" t="s">
        <v>1043</v>
      </c>
    </row>
    <row r="1378" spans="16:17" x14ac:dyDescent="0.25">
      <c r="P1378" s="358" t="s">
        <v>330</v>
      </c>
      <c r="Q1378" s="358" t="s">
        <v>1044</v>
      </c>
    </row>
    <row r="1379" spans="16:17" x14ac:dyDescent="0.25">
      <c r="P1379" s="358" t="s">
        <v>330</v>
      </c>
      <c r="Q1379" s="358" t="s">
        <v>1045</v>
      </c>
    </row>
    <row r="1380" spans="16:17" x14ac:dyDescent="0.25">
      <c r="P1380" s="358" t="s">
        <v>398</v>
      </c>
      <c r="Q1380" s="358" t="s">
        <v>143</v>
      </c>
    </row>
    <row r="1381" spans="16:17" x14ac:dyDescent="0.25">
      <c r="P1381" s="358" t="s">
        <v>331</v>
      </c>
      <c r="Q1381" s="358" t="s">
        <v>1046</v>
      </c>
    </row>
    <row r="1382" spans="16:17" x14ac:dyDescent="0.25">
      <c r="P1382" s="358" t="s">
        <v>400</v>
      </c>
      <c r="Q1382" s="358" t="s">
        <v>1047</v>
      </c>
    </row>
    <row r="1383" spans="16:17" x14ac:dyDescent="0.25">
      <c r="P1383" s="358" t="s">
        <v>401</v>
      </c>
      <c r="Q1383" s="358" t="s">
        <v>1048</v>
      </c>
    </row>
    <row r="1384" spans="16:17" x14ac:dyDescent="0.25">
      <c r="P1384" s="358" t="s">
        <v>511</v>
      </c>
      <c r="Q1384" s="358" t="s">
        <v>1064</v>
      </c>
    </row>
    <row r="1385" spans="16:17" x14ac:dyDescent="0.25">
      <c r="P1385" s="358" t="s">
        <v>321</v>
      </c>
      <c r="Q1385" s="358" t="s">
        <v>1049</v>
      </c>
    </row>
    <row r="1386" spans="16:17" x14ac:dyDescent="0.25">
      <c r="P1386" s="358" t="s">
        <v>512</v>
      </c>
      <c r="Q1386" s="358" t="s">
        <v>1094</v>
      </c>
    </row>
    <row r="1387" spans="16:17" x14ac:dyDescent="0.25">
      <c r="P1387" s="358" t="s">
        <v>513</v>
      </c>
      <c r="Q1387" s="358" t="s">
        <v>1085</v>
      </c>
    </row>
    <row r="1388" spans="16:17" x14ac:dyDescent="0.25">
      <c r="P1388" s="358" t="s">
        <v>323</v>
      </c>
      <c r="Q1388" s="358" t="s">
        <v>1093</v>
      </c>
    </row>
    <row r="1389" spans="16:17" x14ac:dyDescent="0.25">
      <c r="P1389" s="358" t="s">
        <v>808</v>
      </c>
      <c r="Q1389" s="358" t="s">
        <v>1087</v>
      </c>
    </row>
    <row r="1390" spans="16:17" x14ac:dyDescent="0.25">
      <c r="P1390" s="358" t="s">
        <v>809</v>
      </c>
      <c r="Q1390" s="358" t="s">
        <v>1061</v>
      </c>
    </row>
    <row r="1391" spans="16:17" x14ac:dyDescent="0.25">
      <c r="P1391" s="358" t="s">
        <v>514</v>
      </c>
      <c r="Q1391" s="358" t="s">
        <v>1086</v>
      </c>
    </row>
    <row r="1392" spans="16:17" x14ac:dyDescent="0.25">
      <c r="P1392" s="358" t="s">
        <v>515</v>
      </c>
      <c r="Q1392" s="358" t="s">
        <v>1089</v>
      </c>
    </row>
    <row r="1393" spans="16:17" x14ac:dyDescent="0.25">
      <c r="P1393" s="358" t="s">
        <v>516</v>
      </c>
      <c r="Q1393" s="358" t="s">
        <v>1093</v>
      </c>
    </row>
    <row r="1394" spans="16:17" x14ac:dyDescent="0.25">
      <c r="P1394" s="358" t="s">
        <v>517</v>
      </c>
      <c r="Q1394" s="358" t="s">
        <v>1090</v>
      </c>
    </row>
    <row r="1395" spans="16:17" x14ac:dyDescent="0.25">
      <c r="P1395" s="358" t="s">
        <v>810</v>
      </c>
      <c r="Q1395" s="358" t="s">
        <v>1095</v>
      </c>
    </row>
    <row r="1396" spans="16:17" x14ac:dyDescent="0.25">
      <c r="P1396" s="358" t="s">
        <v>519</v>
      </c>
      <c r="Q1396" s="358" t="s">
        <v>1086</v>
      </c>
    </row>
    <row r="1397" spans="16:17" x14ac:dyDescent="0.25">
      <c r="P1397" s="358" t="s">
        <v>518</v>
      </c>
      <c r="Q1397" s="358" t="s">
        <v>1086</v>
      </c>
    </row>
    <row r="1398" spans="16:17" x14ac:dyDescent="0.25">
      <c r="P1398" s="358" t="s">
        <v>324</v>
      </c>
      <c r="Q1398" s="358" t="s">
        <v>150</v>
      </c>
    </row>
    <row r="1399" spans="16:17" x14ac:dyDescent="0.25">
      <c r="P1399" s="358" t="s">
        <v>324</v>
      </c>
      <c r="Q1399" s="358" t="s">
        <v>1050</v>
      </c>
    </row>
    <row r="1400" spans="16:17" x14ac:dyDescent="0.25">
      <c r="P1400" s="358" t="s">
        <v>520</v>
      </c>
      <c r="Q1400" s="358" t="s">
        <v>1097</v>
      </c>
    </row>
    <row r="1401" spans="16:17" x14ac:dyDescent="0.25">
      <c r="P1401" s="358" t="s">
        <v>326</v>
      </c>
      <c r="Q1401" s="358" t="s">
        <v>1051</v>
      </c>
    </row>
  </sheetData>
  <sortState ref="O3:O243">
    <sortCondition ref="O243"/>
  </sortState>
  <dataConsolidate/>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H51"/>
  <sheetViews>
    <sheetView workbookViewId="0"/>
  </sheetViews>
  <sheetFormatPr defaultColWidth="8.875" defaultRowHeight="15.75" x14ac:dyDescent="0.25"/>
  <cols>
    <col min="1" max="1" width="6.5" bestFit="1" customWidth="1"/>
    <col min="2" max="2" width="13.625" bestFit="1" customWidth="1"/>
    <col min="3" max="3" width="14.5" bestFit="1" customWidth="1"/>
    <col min="4" max="4" width="14.625" bestFit="1" customWidth="1"/>
    <col min="5" max="5" width="9" customWidth="1"/>
    <col min="6" max="6" width="6.5" bestFit="1" customWidth="1"/>
    <col min="7" max="7" width="7.125" bestFit="1" customWidth="1"/>
    <col min="8" max="8" width="31" bestFit="1" customWidth="1"/>
  </cols>
  <sheetData>
    <row r="1" spans="1:8" ht="31.5" x14ac:dyDescent="0.25">
      <c r="A1" s="27" t="s">
        <v>546</v>
      </c>
      <c r="B1" s="27" t="s">
        <v>547</v>
      </c>
      <c r="C1" s="27" t="s">
        <v>548</v>
      </c>
      <c r="D1" s="27" t="s">
        <v>549</v>
      </c>
      <c r="F1" s="27" t="s">
        <v>546</v>
      </c>
      <c r="G1" s="27" t="s">
        <v>551</v>
      </c>
      <c r="H1" s="27" t="s">
        <v>554</v>
      </c>
    </row>
    <row r="2" spans="1:8" x14ac:dyDescent="0.25">
      <c r="A2" s="29" t="s">
        <v>537</v>
      </c>
      <c r="B2" s="29">
        <v>1</v>
      </c>
      <c r="C2" s="29" t="s">
        <v>538</v>
      </c>
      <c r="D2" s="29" t="s">
        <v>68</v>
      </c>
      <c r="F2" s="31" t="s">
        <v>537</v>
      </c>
      <c r="G2" s="31" t="s">
        <v>552</v>
      </c>
      <c r="H2" s="32" t="str">
        <f ca="1">CONCATENATE(F2,"_STORIES_",TEXT(NOW(),"YYYYMMDD-HHMMSS"),".", LOWER(G2))</f>
        <v>RS2_STORIES_20140214-232100.csv</v>
      </c>
    </row>
    <row r="3" spans="1:8" x14ac:dyDescent="0.25">
      <c r="A3" s="29" t="s">
        <v>537</v>
      </c>
      <c r="B3" s="29">
        <v>2</v>
      </c>
      <c r="C3" s="29" t="s">
        <v>30</v>
      </c>
      <c r="D3" s="29" t="s">
        <v>30</v>
      </c>
      <c r="F3" s="33" t="s">
        <v>539</v>
      </c>
      <c r="G3" s="33" t="s">
        <v>553</v>
      </c>
      <c r="H3" s="34" t="str">
        <f t="shared" ref="H3:H5" ca="1" si="0">CONCATENATE(F3,"_STORIES_",TEXT(NOW(),"YYYYMMDD-HHMMSS"),".", LOWER(G3))</f>
        <v>RS3_STORIES_20140214-232100.xls</v>
      </c>
    </row>
    <row r="4" spans="1:8" x14ac:dyDescent="0.25">
      <c r="A4" s="29" t="s">
        <v>537</v>
      </c>
      <c r="B4" s="29">
        <v>3</v>
      </c>
      <c r="C4" s="29" t="s">
        <v>29</v>
      </c>
      <c r="D4" s="29" t="s">
        <v>29</v>
      </c>
      <c r="F4" s="36" t="s">
        <v>550</v>
      </c>
      <c r="G4" s="36" t="s">
        <v>552</v>
      </c>
      <c r="H4" s="37" t="str">
        <f t="shared" ca="1" si="0"/>
        <v>JIRA_STORIES_20140214-232100.csv</v>
      </c>
    </row>
    <row r="5" spans="1:8" x14ac:dyDescent="0.25">
      <c r="A5" s="29" t="s">
        <v>537</v>
      </c>
      <c r="B5" s="29">
        <v>4</v>
      </c>
      <c r="C5" s="29" t="s">
        <v>21</v>
      </c>
      <c r="D5" s="29" t="s">
        <v>21</v>
      </c>
      <c r="F5" s="38" t="s">
        <v>556</v>
      </c>
      <c r="G5" s="38" t="s">
        <v>552</v>
      </c>
      <c r="H5" s="39" t="str">
        <f t="shared" ca="1" si="0"/>
        <v>TEST_STORIES_20140214-232100.csv</v>
      </c>
    </row>
    <row r="6" spans="1:8" x14ac:dyDescent="0.25">
      <c r="A6" s="29" t="s">
        <v>537</v>
      </c>
      <c r="B6" s="29">
        <v>5</v>
      </c>
      <c r="C6" s="29" t="s">
        <v>22</v>
      </c>
      <c r="D6" s="29" t="s">
        <v>22</v>
      </c>
    </row>
    <row r="7" spans="1:8" x14ac:dyDescent="0.25">
      <c r="A7" s="29" t="s">
        <v>537</v>
      </c>
      <c r="B7" s="29">
        <v>6</v>
      </c>
      <c r="C7" s="29" t="s">
        <v>69</v>
      </c>
      <c r="D7" s="29" t="s">
        <v>69</v>
      </c>
    </row>
    <row r="8" spans="1:8" x14ac:dyDescent="0.25">
      <c r="A8" s="29" t="s">
        <v>537</v>
      </c>
      <c r="B8" s="29">
        <v>7</v>
      </c>
      <c r="C8" s="29" t="s">
        <v>35</v>
      </c>
      <c r="D8" s="29" t="s">
        <v>35</v>
      </c>
    </row>
    <row r="9" spans="1:8" x14ac:dyDescent="0.25">
      <c r="A9" s="29" t="s">
        <v>537</v>
      </c>
      <c r="B9" s="29">
        <v>8</v>
      </c>
      <c r="C9" s="29" t="s">
        <v>72</v>
      </c>
      <c r="D9" s="29" t="s">
        <v>72</v>
      </c>
    </row>
    <row r="10" spans="1:8" x14ac:dyDescent="0.25">
      <c r="A10" s="29" t="s">
        <v>537</v>
      </c>
      <c r="B10" s="29">
        <v>9</v>
      </c>
      <c r="C10" s="29" t="s">
        <v>540</v>
      </c>
      <c r="D10" s="29" t="s">
        <v>555</v>
      </c>
    </row>
    <row r="11" spans="1:8" x14ac:dyDescent="0.25">
      <c r="A11" s="28" t="s">
        <v>539</v>
      </c>
      <c r="B11" s="28">
        <v>1</v>
      </c>
      <c r="C11" s="28" t="s">
        <v>1140</v>
      </c>
      <c r="D11" s="28" t="s">
        <v>1141</v>
      </c>
    </row>
    <row r="12" spans="1:8" x14ac:dyDescent="0.25">
      <c r="A12" s="28" t="s">
        <v>539</v>
      </c>
      <c r="B12" s="28">
        <v>2</v>
      </c>
      <c r="C12" s="28" t="s">
        <v>540</v>
      </c>
      <c r="D12" s="28"/>
    </row>
    <row r="13" spans="1:8" x14ac:dyDescent="0.25">
      <c r="A13" s="28" t="s">
        <v>539</v>
      </c>
      <c r="B13" s="28">
        <v>3</v>
      </c>
      <c r="C13" s="28" t="s">
        <v>541</v>
      </c>
      <c r="D13" s="28" t="s">
        <v>68</v>
      </c>
    </row>
    <row r="14" spans="1:8" x14ac:dyDescent="0.25">
      <c r="A14" s="28" t="s">
        <v>539</v>
      </c>
      <c r="B14" s="28">
        <v>4</v>
      </c>
      <c r="C14" s="28" t="s">
        <v>30</v>
      </c>
      <c r="D14" s="28" t="s">
        <v>30</v>
      </c>
    </row>
    <row r="15" spans="1:8" x14ac:dyDescent="0.25">
      <c r="A15" s="28" t="s">
        <v>539</v>
      </c>
      <c r="B15" s="28">
        <v>5</v>
      </c>
      <c r="C15" s="28" t="s">
        <v>542</v>
      </c>
      <c r="D15" s="28"/>
    </row>
    <row r="16" spans="1:8" x14ac:dyDescent="0.25">
      <c r="A16" s="28" t="s">
        <v>539</v>
      </c>
      <c r="B16" s="28">
        <v>6</v>
      </c>
      <c r="C16" s="28" t="s">
        <v>543</v>
      </c>
      <c r="D16" s="28"/>
    </row>
    <row r="17" spans="1:4" x14ac:dyDescent="0.25">
      <c r="A17" s="28" t="s">
        <v>539</v>
      </c>
      <c r="B17" s="28">
        <v>7</v>
      </c>
      <c r="C17" s="28" t="s">
        <v>544</v>
      </c>
      <c r="D17" s="28"/>
    </row>
    <row r="18" spans="1:4" x14ac:dyDescent="0.25">
      <c r="A18" s="28" t="s">
        <v>539</v>
      </c>
      <c r="B18" s="28">
        <v>8</v>
      </c>
      <c r="C18" s="28" t="s">
        <v>1142</v>
      </c>
      <c r="D18" s="28"/>
    </row>
    <row r="19" spans="1:4" x14ac:dyDescent="0.25">
      <c r="A19" s="28" t="s">
        <v>539</v>
      </c>
      <c r="B19" s="28">
        <v>9</v>
      </c>
      <c r="C19" s="28" t="s">
        <v>1143</v>
      </c>
      <c r="D19" s="28"/>
    </row>
    <row r="20" spans="1:4" x14ac:dyDescent="0.25">
      <c r="A20" s="28" t="s">
        <v>539</v>
      </c>
      <c r="B20" s="28">
        <v>10</v>
      </c>
      <c r="C20" s="28" t="s">
        <v>21</v>
      </c>
      <c r="D20" s="28" t="s">
        <v>21</v>
      </c>
    </row>
    <row r="21" spans="1:4" x14ac:dyDescent="0.25">
      <c r="A21" s="28" t="s">
        <v>539</v>
      </c>
      <c r="B21" s="28">
        <v>11</v>
      </c>
      <c r="C21" s="28" t="s">
        <v>22</v>
      </c>
      <c r="D21" s="28" t="s">
        <v>22</v>
      </c>
    </row>
    <row r="22" spans="1:4" x14ac:dyDescent="0.25">
      <c r="A22" s="28" t="s">
        <v>539</v>
      </c>
      <c r="B22" s="28">
        <v>12</v>
      </c>
      <c r="C22" s="28" t="s">
        <v>1144</v>
      </c>
      <c r="D22" s="28"/>
    </row>
    <row r="23" spans="1:4" x14ac:dyDescent="0.25">
      <c r="A23" s="28" t="s">
        <v>539</v>
      </c>
      <c r="B23" s="28">
        <v>13</v>
      </c>
      <c r="C23" s="28" t="s">
        <v>1145</v>
      </c>
      <c r="D23" s="28"/>
    </row>
    <row r="24" spans="1:4" x14ac:dyDescent="0.25">
      <c r="A24" s="28" t="s">
        <v>539</v>
      </c>
      <c r="B24" s="28">
        <v>14</v>
      </c>
      <c r="C24" s="28" t="s">
        <v>35</v>
      </c>
      <c r="D24" s="28"/>
    </row>
    <row r="25" spans="1:4" x14ac:dyDescent="0.25">
      <c r="A25" s="28" t="s">
        <v>539</v>
      </c>
      <c r="B25" s="28">
        <v>15</v>
      </c>
      <c r="C25" s="28" t="s">
        <v>545</v>
      </c>
      <c r="D25" s="28"/>
    </row>
    <row r="26" spans="1:4" x14ac:dyDescent="0.25">
      <c r="A26" s="35" t="s">
        <v>550</v>
      </c>
      <c r="B26" s="35">
        <v>1</v>
      </c>
      <c r="C26" s="35" t="s">
        <v>1127</v>
      </c>
      <c r="D26" s="35" t="s">
        <v>1128</v>
      </c>
    </row>
    <row r="27" spans="1:4" x14ac:dyDescent="0.25">
      <c r="A27" s="35" t="s">
        <v>550</v>
      </c>
      <c r="B27" s="35">
        <v>2</v>
      </c>
      <c r="C27" s="35" t="s">
        <v>1129</v>
      </c>
      <c r="D27" s="35" t="s">
        <v>29</v>
      </c>
    </row>
    <row r="28" spans="1:4" x14ac:dyDescent="0.25">
      <c r="A28" s="35" t="s">
        <v>550</v>
      </c>
      <c r="B28" s="35">
        <v>3</v>
      </c>
      <c r="C28" s="35" t="s">
        <v>1130</v>
      </c>
      <c r="D28" s="35" t="s">
        <v>30</v>
      </c>
    </row>
    <row r="29" spans="1:4" x14ac:dyDescent="0.25">
      <c r="A29" s="35" t="s">
        <v>550</v>
      </c>
      <c r="B29" s="35">
        <v>4</v>
      </c>
      <c r="C29" s="35" t="s">
        <v>1131</v>
      </c>
      <c r="D29" s="35" t="s">
        <v>68</v>
      </c>
    </row>
    <row r="30" spans="1:4" x14ac:dyDescent="0.25">
      <c r="A30" s="35" t="s">
        <v>550</v>
      </c>
      <c r="B30" s="35">
        <v>5</v>
      </c>
      <c r="C30" s="35" t="s">
        <v>72</v>
      </c>
      <c r="D30" s="35" t="s">
        <v>72</v>
      </c>
    </row>
    <row r="31" spans="1:4" x14ac:dyDescent="0.25">
      <c r="A31" s="35" t="s">
        <v>550</v>
      </c>
      <c r="B31" s="35">
        <v>6</v>
      </c>
      <c r="C31" s="35" t="s">
        <v>69</v>
      </c>
      <c r="D31" s="35" t="s">
        <v>69</v>
      </c>
    </row>
    <row r="32" spans="1:4" x14ac:dyDescent="0.25">
      <c r="A32" s="35" t="s">
        <v>550</v>
      </c>
      <c r="B32" s="35">
        <v>7</v>
      </c>
      <c r="C32" s="35" t="s">
        <v>1146</v>
      </c>
      <c r="D32" s="35" t="s">
        <v>20</v>
      </c>
    </row>
    <row r="33" spans="1:4" x14ac:dyDescent="0.25">
      <c r="A33" s="35" t="s">
        <v>550</v>
      </c>
      <c r="B33" s="35">
        <v>8</v>
      </c>
      <c r="C33" s="35" t="s">
        <v>1133</v>
      </c>
      <c r="D33" s="35" t="s">
        <v>21</v>
      </c>
    </row>
    <row r="34" spans="1:4" x14ac:dyDescent="0.25">
      <c r="A34" s="35" t="s">
        <v>550</v>
      </c>
      <c r="B34" s="35">
        <v>9</v>
      </c>
      <c r="C34" s="35" t="s">
        <v>1134</v>
      </c>
      <c r="D34" s="35" t="s">
        <v>22</v>
      </c>
    </row>
    <row r="35" spans="1:4" x14ac:dyDescent="0.25">
      <c r="A35" s="35" t="s">
        <v>550</v>
      </c>
      <c r="B35" s="35">
        <v>10</v>
      </c>
      <c r="C35" s="35" t="s">
        <v>1135</v>
      </c>
      <c r="D35" s="35" t="s">
        <v>563</v>
      </c>
    </row>
    <row r="36" spans="1:4" x14ac:dyDescent="0.25">
      <c r="A36" s="35" t="s">
        <v>550</v>
      </c>
      <c r="B36" s="35">
        <v>11</v>
      </c>
      <c r="C36" s="35" t="s">
        <v>1136</v>
      </c>
      <c r="D36" s="35" t="s">
        <v>35</v>
      </c>
    </row>
    <row r="37" spans="1:4" x14ac:dyDescent="0.25">
      <c r="A37" s="35" t="s">
        <v>550</v>
      </c>
      <c r="B37" s="35">
        <v>12</v>
      </c>
      <c r="C37" s="35" t="s">
        <v>1132</v>
      </c>
      <c r="D37" s="35" t="s">
        <v>1137</v>
      </c>
    </row>
    <row r="38" spans="1:4" x14ac:dyDescent="0.25">
      <c r="A38" s="35" t="s">
        <v>550</v>
      </c>
      <c r="B38" s="35">
        <v>13</v>
      </c>
      <c r="C38" s="35" t="s">
        <v>1138</v>
      </c>
      <c r="D38" s="35"/>
    </row>
    <row r="39" spans="1:4" x14ac:dyDescent="0.25">
      <c r="A39" s="40" t="s">
        <v>556</v>
      </c>
      <c r="B39" s="40">
        <v>9</v>
      </c>
      <c r="C39" s="40" t="str">
        <f t="shared" ref="C39:C51" si="1">CONCATENATE("Column ", B39)</f>
        <v>Column 9</v>
      </c>
      <c r="D39" s="40" t="s">
        <v>21</v>
      </c>
    </row>
    <row r="40" spans="1:4" x14ac:dyDescent="0.25">
      <c r="A40" s="40" t="s">
        <v>556</v>
      </c>
      <c r="B40" s="40">
        <v>2</v>
      </c>
      <c r="C40" s="40" t="str">
        <f t="shared" si="1"/>
        <v>Column 2</v>
      </c>
      <c r="D40" s="40" t="s">
        <v>29</v>
      </c>
    </row>
    <row r="41" spans="1:4" x14ac:dyDescent="0.25">
      <c r="A41" s="40" t="s">
        <v>556</v>
      </c>
      <c r="B41" s="40">
        <v>5</v>
      </c>
      <c r="C41" s="40" t="str">
        <f t="shared" si="1"/>
        <v>Column 5</v>
      </c>
      <c r="D41" s="40" t="s">
        <v>72</v>
      </c>
    </row>
    <row r="42" spans="1:4" x14ac:dyDescent="0.25">
      <c r="A42" s="40" t="s">
        <v>556</v>
      </c>
      <c r="B42" s="40">
        <v>10</v>
      </c>
      <c r="C42" s="40" t="str">
        <f t="shared" si="1"/>
        <v>Column 10</v>
      </c>
      <c r="D42" s="40" t="s">
        <v>22</v>
      </c>
    </row>
    <row r="43" spans="1:4" x14ac:dyDescent="0.25">
      <c r="A43" s="40" t="s">
        <v>556</v>
      </c>
      <c r="B43" s="40">
        <v>7</v>
      </c>
      <c r="C43" s="40" t="str">
        <f t="shared" si="1"/>
        <v>Column 7</v>
      </c>
      <c r="D43" s="40" t="s">
        <v>557</v>
      </c>
    </row>
    <row r="44" spans="1:4" x14ac:dyDescent="0.25">
      <c r="A44" s="40" t="s">
        <v>556</v>
      </c>
      <c r="B44" s="40">
        <v>11</v>
      </c>
      <c r="C44" s="40" t="str">
        <f t="shared" si="1"/>
        <v>Column 11</v>
      </c>
      <c r="D44" s="40" t="s">
        <v>74</v>
      </c>
    </row>
    <row r="45" spans="1:4" x14ac:dyDescent="0.25">
      <c r="A45" s="40" t="s">
        <v>556</v>
      </c>
      <c r="B45" s="40">
        <v>12</v>
      </c>
      <c r="C45" s="40" t="str">
        <f t="shared" si="1"/>
        <v>Column 12</v>
      </c>
      <c r="D45" s="40" t="s">
        <v>35</v>
      </c>
    </row>
    <row r="46" spans="1:4" x14ac:dyDescent="0.25">
      <c r="A46" s="40" t="s">
        <v>556</v>
      </c>
      <c r="B46" s="40">
        <v>6</v>
      </c>
      <c r="C46" s="40" t="str">
        <f t="shared" si="1"/>
        <v>Column 6</v>
      </c>
      <c r="D46" s="40" t="s">
        <v>69</v>
      </c>
    </row>
    <row r="47" spans="1:4" x14ac:dyDescent="0.25">
      <c r="A47" s="40" t="s">
        <v>556</v>
      </c>
      <c r="B47" s="40">
        <v>1</v>
      </c>
      <c r="C47" s="40" t="str">
        <f t="shared" si="1"/>
        <v>Column 1</v>
      </c>
      <c r="D47" s="40" t="s">
        <v>555</v>
      </c>
    </row>
    <row r="48" spans="1:4" x14ac:dyDescent="0.25">
      <c r="A48" s="40" t="s">
        <v>556</v>
      </c>
      <c r="B48" s="40">
        <v>4</v>
      </c>
      <c r="C48" s="40" t="str">
        <f t="shared" si="1"/>
        <v>Column 4</v>
      </c>
      <c r="D48" s="40" t="s">
        <v>68</v>
      </c>
    </row>
    <row r="49" spans="1:4" x14ac:dyDescent="0.25">
      <c r="A49" s="40" t="s">
        <v>556</v>
      </c>
      <c r="B49" s="40">
        <v>8</v>
      </c>
      <c r="C49" s="40" t="str">
        <f t="shared" si="1"/>
        <v>Column 8</v>
      </c>
      <c r="D49" s="40" t="s">
        <v>20</v>
      </c>
    </row>
    <row r="50" spans="1:4" x14ac:dyDescent="0.25">
      <c r="A50" s="40" t="s">
        <v>556</v>
      </c>
      <c r="B50" s="40">
        <v>13</v>
      </c>
      <c r="C50" s="40" t="str">
        <f t="shared" si="1"/>
        <v>Column 13</v>
      </c>
      <c r="D50" s="40" t="s">
        <v>563</v>
      </c>
    </row>
    <row r="51" spans="1:4" x14ac:dyDescent="0.25">
      <c r="A51" s="40" t="s">
        <v>556</v>
      </c>
      <c r="B51" s="40">
        <v>3</v>
      </c>
      <c r="C51" s="40" t="str">
        <f t="shared" si="1"/>
        <v>Column 3</v>
      </c>
      <c r="D51" s="40" t="s">
        <v>30</v>
      </c>
    </row>
  </sheetData>
  <sortState ref="A24:D35">
    <sortCondition ref="D24:D35"/>
  </sortState>
  <dataConsolidate/>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64"/>
  <sheetViews>
    <sheetView workbookViewId="0"/>
  </sheetViews>
  <sheetFormatPr defaultColWidth="8.875" defaultRowHeight="15.75" x14ac:dyDescent="0.25"/>
  <cols>
    <col min="10" max="10" width="45.125" customWidth="1"/>
    <col min="11" max="11" width="10.625" bestFit="1" customWidth="1"/>
  </cols>
  <sheetData>
    <row r="1" spans="1:12" x14ac:dyDescent="0.25">
      <c r="J1" t="s">
        <v>1264</v>
      </c>
      <c r="K1" t="s">
        <v>1265</v>
      </c>
      <c r="L1" t="s">
        <v>1266</v>
      </c>
    </row>
    <row r="2" spans="1:12" x14ac:dyDescent="0.25">
      <c r="J2" t="s">
        <v>1208</v>
      </c>
      <c r="K2">
        <v>7</v>
      </c>
      <c r="L2" t="s">
        <v>1262</v>
      </c>
    </row>
    <row r="3" spans="1:12" x14ac:dyDescent="0.25">
      <c r="J3" t="s">
        <v>1209</v>
      </c>
      <c r="K3">
        <v>7</v>
      </c>
      <c r="L3" t="s">
        <v>1263</v>
      </c>
    </row>
    <row r="4" spans="1:12" x14ac:dyDescent="0.25">
      <c r="J4" t="s">
        <v>1210</v>
      </c>
      <c r="K4">
        <v>8</v>
      </c>
      <c r="L4" t="s">
        <v>1262</v>
      </c>
    </row>
    <row r="5" spans="1:12" x14ac:dyDescent="0.25">
      <c r="J5" t="s">
        <v>1211</v>
      </c>
      <c r="K5">
        <v>9</v>
      </c>
      <c r="L5" t="s">
        <v>1262</v>
      </c>
    </row>
    <row r="6" spans="1:12" x14ac:dyDescent="0.25">
      <c r="J6" t="s">
        <v>1212</v>
      </c>
      <c r="K6">
        <v>10</v>
      </c>
      <c r="L6" t="s">
        <v>1262</v>
      </c>
    </row>
    <row r="7" spans="1:12" x14ac:dyDescent="0.25">
      <c r="A7" t="s">
        <v>66</v>
      </c>
      <c r="B7" t="s">
        <v>29</v>
      </c>
      <c r="C7">
        <f>COLUMN(Stories!C6)</f>
        <v>3</v>
      </c>
      <c r="D7">
        <f>ROW(Stories!C6)</f>
        <v>6</v>
      </c>
      <c r="J7" t="s">
        <v>1213</v>
      </c>
      <c r="K7">
        <v>11</v>
      </c>
      <c r="L7" t="s">
        <v>1262</v>
      </c>
    </row>
    <row r="8" spans="1:12" x14ac:dyDescent="0.25">
      <c r="A8" t="s">
        <v>66</v>
      </c>
      <c r="B8" t="s">
        <v>1193</v>
      </c>
      <c r="C8">
        <f>COLUMN(Stories!D6)</f>
        <v>4</v>
      </c>
      <c r="J8" t="s">
        <v>1214</v>
      </c>
      <c r="K8">
        <v>12</v>
      </c>
      <c r="L8" t="s">
        <v>1262</v>
      </c>
    </row>
    <row r="9" spans="1:12" x14ac:dyDescent="0.25">
      <c r="A9" t="s">
        <v>66</v>
      </c>
      <c r="B9" t="s">
        <v>1190</v>
      </c>
      <c r="C9">
        <f>COLUMN(Stories!E6)</f>
        <v>5</v>
      </c>
      <c r="J9" t="s">
        <v>1215</v>
      </c>
      <c r="K9">
        <v>13</v>
      </c>
      <c r="L9" t="s">
        <v>1262</v>
      </c>
    </row>
    <row r="10" spans="1:12" x14ac:dyDescent="0.25">
      <c r="A10" t="s">
        <v>66</v>
      </c>
      <c r="B10" t="s">
        <v>30</v>
      </c>
      <c r="C10">
        <f>COLUMN(Stories!F6)</f>
        <v>6</v>
      </c>
      <c r="J10" t="s">
        <v>1216</v>
      </c>
      <c r="K10">
        <v>14</v>
      </c>
      <c r="L10" t="s">
        <v>1262</v>
      </c>
    </row>
    <row r="11" spans="1:12" x14ac:dyDescent="0.25">
      <c r="A11" t="s">
        <v>66</v>
      </c>
      <c r="B11" t="s">
        <v>68</v>
      </c>
      <c r="C11">
        <f>COLUMN(Stories!G6)</f>
        <v>7</v>
      </c>
      <c r="J11" t="s">
        <v>1217</v>
      </c>
      <c r="K11">
        <v>15</v>
      </c>
      <c r="L11" t="s">
        <v>1262</v>
      </c>
    </row>
    <row r="12" spans="1:12" x14ac:dyDescent="0.25">
      <c r="A12" t="s">
        <v>66</v>
      </c>
      <c r="B12" t="s">
        <v>72</v>
      </c>
      <c r="C12">
        <f>COLUMN(Stories!H6)</f>
        <v>8</v>
      </c>
      <c r="J12" t="s">
        <v>1218</v>
      </c>
      <c r="K12">
        <v>16</v>
      </c>
      <c r="L12" t="s">
        <v>1262</v>
      </c>
    </row>
    <row r="13" spans="1:12" x14ac:dyDescent="0.25">
      <c r="A13" t="s">
        <v>66</v>
      </c>
      <c r="B13" t="s">
        <v>69</v>
      </c>
      <c r="C13">
        <f>COLUMN(Stories!I6)</f>
        <v>9</v>
      </c>
      <c r="J13" t="s">
        <v>1219</v>
      </c>
      <c r="K13">
        <v>17</v>
      </c>
      <c r="L13" t="s">
        <v>1262</v>
      </c>
    </row>
    <row r="14" spans="1:12" x14ac:dyDescent="0.25">
      <c r="A14" t="s">
        <v>66</v>
      </c>
      <c r="B14" t="s">
        <v>73</v>
      </c>
      <c r="C14">
        <f>COLUMN(Stories!J6)</f>
        <v>10</v>
      </c>
      <c r="J14" t="s">
        <v>1220</v>
      </c>
      <c r="K14">
        <v>18</v>
      </c>
      <c r="L14" t="s">
        <v>1262</v>
      </c>
    </row>
    <row r="15" spans="1:12" x14ac:dyDescent="0.25">
      <c r="A15" t="s">
        <v>66</v>
      </c>
      <c r="B15" t="s">
        <v>543</v>
      </c>
      <c r="C15">
        <f>COLUMN(Stories!K6)</f>
        <v>11</v>
      </c>
      <c r="J15" t="s">
        <v>1221</v>
      </c>
      <c r="K15">
        <v>19</v>
      </c>
      <c r="L15" t="s">
        <v>1262</v>
      </c>
    </row>
    <row r="16" spans="1:12" x14ac:dyDescent="0.25">
      <c r="A16" t="s">
        <v>66</v>
      </c>
      <c r="B16" t="s">
        <v>20</v>
      </c>
      <c r="C16">
        <f>COLUMN(Stories!L6)</f>
        <v>12</v>
      </c>
      <c r="J16" t="s">
        <v>1222</v>
      </c>
      <c r="K16">
        <v>20</v>
      </c>
      <c r="L16" t="s">
        <v>1262</v>
      </c>
    </row>
    <row r="17" spans="1:12" x14ac:dyDescent="0.25">
      <c r="A17" t="s">
        <v>66</v>
      </c>
      <c r="B17" t="s">
        <v>21</v>
      </c>
      <c r="C17">
        <f>COLUMN(Stories!M6)</f>
        <v>13</v>
      </c>
      <c r="J17" t="s">
        <v>1223</v>
      </c>
      <c r="K17">
        <v>21</v>
      </c>
      <c r="L17" t="s">
        <v>1262</v>
      </c>
    </row>
    <row r="18" spans="1:12" x14ac:dyDescent="0.25">
      <c r="A18" t="s">
        <v>66</v>
      </c>
      <c r="B18" t="s">
        <v>22</v>
      </c>
      <c r="C18">
        <f>COLUMN(Stories!N6)</f>
        <v>14</v>
      </c>
      <c r="J18" t="s">
        <v>1224</v>
      </c>
      <c r="K18">
        <v>22</v>
      </c>
      <c r="L18" t="s">
        <v>1262</v>
      </c>
    </row>
    <row r="19" spans="1:12" x14ac:dyDescent="0.25">
      <c r="A19" t="s">
        <v>66</v>
      </c>
      <c r="B19" t="s">
        <v>74</v>
      </c>
      <c r="C19">
        <f>COLUMN(Stories!O6)</f>
        <v>15</v>
      </c>
      <c r="J19" t="s">
        <v>1225</v>
      </c>
      <c r="K19">
        <v>23</v>
      </c>
      <c r="L19" t="s">
        <v>1262</v>
      </c>
    </row>
    <row r="20" spans="1:12" x14ac:dyDescent="0.25">
      <c r="A20" t="s">
        <v>66</v>
      </c>
      <c r="B20" t="s">
        <v>811</v>
      </c>
      <c r="C20">
        <f>COLUMN(Stories!P6)</f>
        <v>16</v>
      </c>
      <c r="J20" t="s">
        <v>1251</v>
      </c>
      <c r="K20">
        <v>24</v>
      </c>
      <c r="L20" t="s">
        <v>1262</v>
      </c>
    </row>
    <row r="21" spans="1:12" x14ac:dyDescent="0.25">
      <c r="A21" t="s">
        <v>66</v>
      </c>
      <c r="B21" t="s">
        <v>812</v>
      </c>
      <c r="C21">
        <f>COLUMN(Stories!R6)</f>
        <v>18</v>
      </c>
      <c r="J21" t="s">
        <v>1252</v>
      </c>
      <c r="K21">
        <v>25</v>
      </c>
      <c r="L21" t="s">
        <v>1262</v>
      </c>
    </row>
    <row r="22" spans="1:12" x14ac:dyDescent="0.25">
      <c r="A22" t="s">
        <v>66</v>
      </c>
      <c r="B22" t="s">
        <v>813</v>
      </c>
      <c r="C22">
        <f>COLUMN(Stories!T6)</f>
        <v>20</v>
      </c>
      <c r="J22" t="s">
        <v>1253</v>
      </c>
      <c r="K22">
        <v>26</v>
      </c>
      <c r="L22" t="s">
        <v>1262</v>
      </c>
    </row>
    <row r="23" spans="1:12" x14ac:dyDescent="0.25">
      <c r="A23" t="s">
        <v>66</v>
      </c>
      <c r="B23" t="s">
        <v>35</v>
      </c>
      <c r="C23">
        <f>COLUMN(Stories!V6)</f>
        <v>22</v>
      </c>
      <c r="J23" t="s">
        <v>1254</v>
      </c>
      <c r="K23">
        <v>27</v>
      </c>
      <c r="L23" t="s">
        <v>1262</v>
      </c>
    </row>
    <row r="24" spans="1:12" x14ac:dyDescent="0.25">
      <c r="A24" t="s">
        <v>1267</v>
      </c>
      <c r="B24" t="s">
        <v>29</v>
      </c>
      <c r="C24">
        <f>COLUMN('Add-ins'!B4)</f>
        <v>2</v>
      </c>
      <c r="J24" t="s">
        <v>1255</v>
      </c>
      <c r="K24">
        <v>28</v>
      </c>
      <c r="L24" t="s">
        <v>1262</v>
      </c>
    </row>
    <row r="25" spans="1:12" x14ac:dyDescent="0.25">
      <c r="A25" t="s">
        <v>1267</v>
      </c>
      <c r="B25" t="s">
        <v>1190</v>
      </c>
      <c r="C25">
        <f>COLUMN('Add-ins'!C4)</f>
        <v>3</v>
      </c>
      <c r="J25" t="s">
        <v>1256</v>
      </c>
      <c r="K25">
        <v>29</v>
      </c>
      <c r="L25" t="s">
        <v>1262</v>
      </c>
    </row>
    <row r="26" spans="1:12" x14ac:dyDescent="0.25">
      <c r="A26" t="s">
        <v>1267</v>
      </c>
      <c r="B26" t="s">
        <v>30</v>
      </c>
      <c r="C26">
        <f>COLUMN('Add-ins'!D4)</f>
        <v>4</v>
      </c>
      <c r="J26" t="s">
        <v>1257</v>
      </c>
      <c r="K26">
        <v>30</v>
      </c>
      <c r="L26" t="s">
        <v>1262</v>
      </c>
    </row>
    <row r="27" spans="1:12" x14ac:dyDescent="0.25">
      <c r="A27" t="s">
        <v>1267</v>
      </c>
      <c r="B27" t="s">
        <v>543</v>
      </c>
      <c r="C27">
        <f>COLUMN('Add-ins'!E4)</f>
        <v>5</v>
      </c>
      <c r="J27" t="s">
        <v>1258</v>
      </c>
      <c r="K27">
        <v>31</v>
      </c>
      <c r="L27" t="s">
        <v>1262</v>
      </c>
    </row>
    <row r="28" spans="1:12" x14ac:dyDescent="0.25">
      <c r="A28" t="s">
        <v>1267</v>
      </c>
      <c r="B28" t="s">
        <v>1268</v>
      </c>
      <c r="C28">
        <f>COLUMN('Add-ins'!F4)</f>
        <v>6</v>
      </c>
      <c r="J28" t="s">
        <v>1261</v>
      </c>
      <c r="K28">
        <v>32</v>
      </c>
      <c r="L28" t="s">
        <v>1262</v>
      </c>
    </row>
    <row r="29" spans="1:12" x14ac:dyDescent="0.25">
      <c r="A29" t="s">
        <v>1267</v>
      </c>
      <c r="B29" t="s">
        <v>31</v>
      </c>
      <c r="C29">
        <f>COLUMN('Add-ins'!G4)</f>
        <v>7</v>
      </c>
      <c r="J29" t="s">
        <v>1241</v>
      </c>
      <c r="K29">
        <v>33</v>
      </c>
      <c r="L29" t="s">
        <v>1262</v>
      </c>
    </row>
    <row r="30" spans="1:12" x14ac:dyDescent="0.25">
      <c r="A30" t="s">
        <v>1267</v>
      </c>
      <c r="B30" t="s">
        <v>33</v>
      </c>
      <c r="C30">
        <f>COLUMN('Add-ins'!H4)</f>
        <v>8</v>
      </c>
      <c r="J30" t="s">
        <v>1242</v>
      </c>
      <c r="K30">
        <v>34</v>
      </c>
      <c r="L30" t="s">
        <v>1262</v>
      </c>
    </row>
    <row r="31" spans="1:12" x14ac:dyDescent="0.25">
      <c r="A31" t="s">
        <v>1267</v>
      </c>
      <c r="B31" t="s">
        <v>1269</v>
      </c>
      <c r="C31">
        <f>COLUMN('Add-ins'!I4)</f>
        <v>9</v>
      </c>
      <c r="J31" t="s">
        <v>1243</v>
      </c>
      <c r="K31">
        <v>35</v>
      </c>
      <c r="L31" t="s">
        <v>1262</v>
      </c>
    </row>
    <row r="32" spans="1:12" x14ac:dyDescent="0.25">
      <c r="A32" t="s">
        <v>1267</v>
      </c>
      <c r="B32" t="s">
        <v>35</v>
      </c>
      <c r="C32">
        <f>COLUMN('Add-ins'!K4)</f>
        <v>11</v>
      </c>
      <c r="J32" t="s">
        <v>1244</v>
      </c>
      <c r="K32">
        <v>36</v>
      </c>
      <c r="L32" t="s">
        <v>1262</v>
      </c>
    </row>
    <row r="33" spans="1:12" x14ac:dyDescent="0.25">
      <c r="A33" t="s">
        <v>50</v>
      </c>
      <c r="B33" t="s">
        <v>29</v>
      </c>
      <c r="C33">
        <f>COLUMN('Objective Risks'!B6)</f>
        <v>2</v>
      </c>
      <c r="J33" t="s">
        <v>1245</v>
      </c>
      <c r="K33">
        <v>37</v>
      </c>
      <c r="L33" t="s">
        <v>1262</v>
      </c>
    </row>
    <row r="34" spans="1:12" x14ac:dyDescent="0.25">
      <c r="A34" t="s">
        <v>50</v>
      </c>
      <c r="B34" t="s">
        <v>1190</v>
      </c>
      <c r="C34">
        <f>COLUMN('Objective Risks'!C6)</f>
        <v>3</v>
      </c>
      <c r="J34" t="s">
        <v>1246</v>
      </c>
      <c r="K34">
        <v>38</v>
      </c>
      <c r="L34" t="s">
        <v>1262</v>
      </c>
    </row>
    <row r="35" spans="1:12" x14ac:dyDescent="0.25">
      <c r="A35" t="s">
        <v>50</v>
      </c>
      <c r="B35" t="s">
        <v>30</v>
      </c>
      <c r="C35">
        <f>COLUMN('Objective Risks'!D6)</f>
        <v>4</v>
      </c>
      <c r="J35" t="s">
        <v>1247</v>
      </c>
      <c r="K35">
        <v>39</v>
      </c>
      <c r="L35" t="s">
        <v>1262</v>
      </c>
    </row>
    <row r="36" spans="1:12" x14ac:dyDescent="0.25">
      <c r="A36" t="s">
        <v>50</v>
      </c>
      <c r="B36" t="s">
        <v>543</v>
      </c>
      <c r="C36">
        <f>COLUMN('Objective Risks'!E6)</f>
        <v>5</v>
      </c>
      <c r="J36" t="s">
        <v>1248</v>
      </c>
      <c r="K36">
        <v>40</v>
      </c>
      <c r="L36" t="s">
        <v>1262</v>
      </c>
    </row>
    <row r="37" spans="1:12" x14ac:dyDescent="0.25">
      <c r="A37" t="s">
        <v>50</v>
      </c>
      <c r="B37" t="s">
        <v>1270</v>
      </c>
      <c r="C37">
        <f>COLUMN('Objective Risks'!F6)</f>
        <v>6</v>
      </c>
      <c r="J37" t="s">
        <v>1226</v>
      </c>
      <c r="K37">
        <v>42</v>
      </c>
      <c r="L37" t="s">
        <v>1262</v>
      </c>
    </row>
    <row r="38" spans="1:12" x14ac:dyDescent="0.25">
      <c r="A38" t="s">
        <v>50</v>
      </c>
      <c r="B38" t="s">
        <v>31</v>
      </c>
      <c r="C38">
        <f>COLUMN('Objective Risks'!G6)</f>
        <v>7</v>
      </c>
      <c r="J38" t="s">
        <v>1240</v>
      </c>
      <c r="K38">
        <v>42</v>
      </c>
      <c r="L38" t="s">
        <v>1263</v>
      </c>
    </row>
    <row r="39" spans="1:12" x14ac:dyDescent="0.25">
      <c r="A39" t="s">
        <v>50</v>
      </c>
      <c r="B39" t="s">
        <v>1271</v>
      </c>
      <c r="C39">
        <f>COLUMN('Objective Risks'!H6)</f>
        <v>8</v>
      </c>
      <c r="J39" t="s">
        <v>1240</v>
      </c>
      <c r="K39">
        <v>42</v>
      </c>
      <c r="L39" t="s">
        <v>1263</v>
      </c>
    </row>
    <row r="40" spans="1:12" x14ac:dyDescent="0.25">
      <c r="A40" t="s">
        <v>50</v>
      </c>
      <c r="B40" t="s">
        <v>1272</v>
      </c>
      <c r="C40">
        <f>COLUMN('Objective Risks'!I6)</f>
        <v>9</v>
      </c>
      <c r="J40" t="s">
        <v>1227</v>
      </c>
      <c r="K40">
        <v>46</v>
      </c>
      <c r="L40" t="s">
        <v>1262</v>
      </c>
    </row>
    <row r="41" spans="1:12" x14ac:dyDescent="0.25">
      <c r="A41" t="s">
        <v>83</v>
      </c>
      <c r="B41" t="s">
        <v>84</v>
      </c>
      <c r="C41">
        <f>COLUMN('Staffing Plan'!D2)</f>
        <v>4</v>
      </c>
      <c r="D41">
        <f>ROW('Staffing Plan'!D2)</f>
        <v>2</v>
      </c>
      <c r="J41" t="s">
        <v>1228</v>
      </c>
      <c r="K41">
        <v>46</v>
      </c>
      <c r="L41" t="s">
        <v>1263</v>
      </c>
    </row>
    <row r="42" spans="1:12" x14ac:dyDescent="0.25">
      <c r="A42" t="s">
        <v>83</v>
      </c>
      <c r="B42" t="s">
        <v>85</v>
      </c>
      <c r="C42">
        <f>COLUMN('Staffing Plan'!D2)</f>
        <v>4</v>
      </c>
      <c r="D42">
        <f>ROW('Staffing Plan'!D3)</f>
        <v>3</v>
      </c>
      <c r="J42" t="s">
        <v>1229</v>
      </c>
      <c r="K42">
        <v>47</v>
      </c>
      <c r="L42" t="s">
        <v>1262</v>
      </c>
    </row>
    <row r="43" spans="1:12" x14ac:dyDescent="0.25">
      <c r="A43" t="s">
        <v>83</v>
      </c>
      <c r="B43" t="s">
        <v>86</v>
      </c>
      <c r="C43">
        <f>COLUMN('Staffing Plan'!D2)</f>
        <v>4</v>
      </c>
      <c r="J43" t="s">
        <v>1230</v>
      </c>
      <c r="K43">
        <v>48</v>
      </c>
      <c r="L43" t="s">
        <v>1262</v>
      </c>
    </row>
    <row r="44" spans="1:12" x14ac:dyDescent="0.25">
      <c r="A44" t="s">
        <v>83</v>
      </c>
      <c r="B44" t="s">
        <v>98</v>
      </c>
      <c r="C44">
        <f>COLUMN('Staffing Plan'!D2)</f>
        <v>4</v>
      </c>
      <c r="J44" t="s">
        <v>1231</v>
      </c>
      <c r="K44">
        <v>49</v>
      </c>
      <c r="L44" t="s">
        <v>1262</v>
      </c>
    </row>
    <row r="45" spans="1:12" x14ac:dyDescent="0.25">
      <c r="A45" t="s">
        <v>83</v>
      </c>
      <c r="J45" t="s">
        <v>1232</v>
      </c>
      <c r="K45">
        <v>50</v>
      </c>
      <c r="L45" t="s">
        <v>1262</v>
      </c>
    </row>
    <row r="46" spans="1:12" x14ac:dyDescent="0.25">
      <c r="A46" t="s">
        <v>83</v>
      </c>
      <c r="B46" t="s">
        <v>87</v>
      </c>
      <c r="C46">
        <f>COLUMN('Staffing Plan'!C8)</f>
        <v>3</v>
      </c>
      <c r="D46">
        <f>ROW('Staffing Plan'!C8)</f>
        <v>8</v>
      </c>
      <c r="J46" t="s">
        <v>1233</v>
      </c>
      <c r="K46">
        <v>51</v>
      </c>
      <c r="L46" t="s">
        <v>1262</v>
      </c>
    </row>
    <row r="47" spans="1:12" x14ac:dyDescent="0.25">
      <c r="A47" t="s">
        <v>83</v>
      </c>
      <c r="B47" t="s">
        <v>89</v>
      </c>
      <c r="C47">
        <f>COLUMN('Staffing Plan'!D8)</f>
        <v>4</v>
      </c>
      <c r="J47" t="s">
        <v>1234</v>
      </c>
      <c r="K47">
        <v>52</v>
      </c>
      <c r="L47" t="s">
        <v>1262</v>
      </c>
    </row>
    <row r="48" spans="1:12" x14ac:dyDescent="0.25">
      <c r="A48" t="s">
        <v>83</v>
      </c>
      <c r="B48" t="s">
        <v>90</v>
      </c>
      <c r="C48">
        <f>COLUMN('Staffing Plan'!E8)</f>
        <v>5</v>
      </c>
      <c r="J48" t="s">
        <v>1235</v>
      </c>
      <c r="K48">
        <v>53</v>
      </c>
      <c r="L48" t="s">
        <v>1262</v>
      </c>
    </row>
    <row r="49" spans="1:12" x14ac:dyDescent="0.25">
      <c r="A49" t="s">
        <v>83</v>
      </c>
      <c r="B49" t="s">
        <v>91</v>
      </c>
      <c r="C49">
        <f>COLUMN('Staffing Plan'!F8)</f>
        <v>6</v>
      </c>
      <c r="J49" t="s">
        <v>1236</v>
      </c>
      <c r="K49">
        <v>54</v>
      </c>
      <c r="L49" t="s">
        <v>1262</v>
      </c>
    </row>
    <row r="50" spans="1:12" x14ac:dyDescent="0.25">
      <c r="A50" t="s">
        <v>83</v>
      </c>
      <c r="B50" t="s">
        <v>1190</v>
      </c>
      <c r="C50">
        <f>COLUMN('Staffing Plan'!G8)</f>
        <v>7</v>
      </c>
      <c r="J50" t="s">
        <v>1237</v>
      </c>
      <c r="K50">
        <v>55</v>
      </c>
      <c r="L50" t="s">
        <v>1262</v>
      </c>
    </row>
    <row r="51" spans="1:12" x14ac:dyDescent="0.25">
      <c r="A51" t="s">
        <v>83</v>
      </c>
      <c r="B51" t="s">
        <v>30</v>
      </c>
      <c r="C51">
        <f>COLUMN('Staffing Plan'!H8)</f>
        <v>8</v>
      </c>
      <c r="J51" t="s">
        <v>1238</v>
      </c>
      <c r="K51">
        <v>56</v>
      </c>
      <c r="L51" t="s">
        <v>1262</v>
      </c>
    </row>
    <row r="52" spans="1:12" x14ac:dyDescent="0.25">
      <c r="A52" t="s">
        <v>83</v>
      </c>
      <c r="B52" t="s">
        <v>543</v>
      </c>
      <c r="C52">
        <f>COLUMN('Staffing Plan'!I8)</f>
        <v>9</v>
      </c>
      <c r="J52" t="s">
        <v>1239</v>
      </c>
      <c r="K52">
        <v>57</v>
      </c>
      <c r="L52" t="s">
        <v>1262</v>
      </c>
    </row>
    <row r="53" spans="1:12" x14ac:dyDescent="0.25">
      <c r="A53" t="s">
        <v>83</v>
      </c>
      <c r="B53" t="s">
        <v>1274</v>
      </c>
      <c r="C53">
        <f>COLUMN('Staffing Plan'!J8)</f>
        <v>10</v>
      </c>
      <c r="J53" t="s">
        <v>1249</v>
      </c>
      <c r="K53">
        <v>58</v>
      </c>
      <c r="L53" t="s">
        <v>1262</v>
      </c>
    </row>
    <row r="54" spans="1:12" x14ac:dyDescent="0.25">
      <c r="A54" t="s">
        <v>83</v>
      </c>
      <c r="B54" t="s">
        <v>828</v>
      </c>
      <c r="C54">
        <f>COLUMN('Staffing Plan'!AF8)</f>
        <v>32</v>
      </c>
      <c r="J54" t="s">
        <v>1250</v>
      </c>
      <c r="K54">
        <v>58</v>
      </c>
      <c r="L54" t="s">
        <v>1263</v>
      </c>
    </row>
    <row r="55" spans="1:12" x14ac:dyDescent="0.25">
      <c r="A55" t="s">
        <v>83</v>
      </c>
      <c r="B55" t="s">
        <v>815</v>
      </c>
      <c r="C55">
        <f>COLUMN('Staffing Plan'!AG8)</f>
        <v>33</v>
      </c>
      <c r="J55" t="s">
        <v>1259</v>
      </c>
      <c r="K55">
        <v>59</v>
      </c>
      <c r="L55" t="s">
        <v>1262</v>
      </c>
    </row>
    <row r="56" spans="1:12" x14ac:dyDescent="0.25">
      <c r="A56" t="s">
        <v>83</v>
      </c>
      <c r="B56" t="s">
        <v>829</v>
      </c>
      <c r="C56">
        <f>COLUMN('Staffing Plan'!AH8)</f>
        <v>34</v>
      </c>
      <c r="J56" t="s">
        <v>1260</v>
      </c>
      <c r="K56">
        <v>59</v>
      </c>
      <c r="L56" t="s">
        <v>1263</v>
      </c>
    </row>
    <row r="57" spans="1:12" x14ac:dyDescent="0.25">
      <c r="A57" t="s">
        <v>83</v>
      </c>
      <c r="B57" t="s">
        <v>817</v>
      </c>
      <c r="C57">
        <f>COLUMN('Staffing Plan'!AJ8)</f>
        <v>36</v>
      </c>
      <c r="J57" t="s">
        <v>1205</v>
      </c>
      <c r="K57">
        <v>61</v>
      </c>
      <c r="L57" t="s">
        <v>1262</v>
      </c>
    </row>
    <row r="58" spans="1:12" x14ac:dyDescent="0.25">
      <c r="A58" t="s">
        <v>50</v>
      </c>
      <c r="B58" t="s">
        <v>1273</v>
      </c>
      <c r="C58">
        <f>COLUMN('Objective Risks'!K6)</f>
        <v>11</v>
      </c>
      <c r="D58">
        <f>ROW('Objective Risks'!K6)</f>
        <v>6</v>
      </c>
      <c r="J58" t="s">
        <v>1206</v>
      </c>
      <c r="K58">
        <v>62</v>
      </c>
      <c r="L58" t="s">
        <v>1262</v>
      </c>
    </row>
    <row r="59" spans="1:12" x14ac:dyDescent="0.25">
      <c r="A59" t="s">
        <v>1267</v>
      </c>
      <c r="B59" t="s">
        <v>36</v>
      </c>
      <c r="C59">
        <f>COLUMN('Add-ins'!J4)</f>
        <v>10</v>
      </c>
      <c r="D59">
        <f>ROW('Add-ins'!J4)</f>
        <v>4</v>
      </c>
      <c r="J59" t="s">
        <v>1207</v>
      </c>
      <c r="K59">
        <v>63</v>
      </c>
      <c r="L59" t="s">
        <v>1262</v>
      </c>
    </row>
    <row r="60" spans="1:12" x14ac:dyDescent="0.25">
      <c r="A60" t="s">
        <v>50</v>
      </c>
      <c r="B60" t="s">
        <v>1277</v>
      </c>
      <c r="C60">
        <f>COLUMN('Objective Risks'!J6)</f>
        <v>10</v>
      </c>
      <c r="D60">
        <f>ROW('Objective Risks'!J6)</f>
        <v>6</v>
      </c>
    </row>
    <row r="61" spans="1:12" x14ac:dyDescent="0.25">
      <c r="A61" t="s">
        <v>1275</v>
      </c>
      <c r="B61" t="s">
        <v>21</v>
      </c>
      <c r="C61">
        <f>COLUMN('Story Types'!E3)</f>
        <v>5</v>
      </c>
    </row>
    <row r="62" spans="1:12" x14ac:dyDescent="0.25">
      <c r="A62" t="s">
        <v>1275</v>
      </c>
      <c r="B62" t="s">
        <v>22</v>
      </c>
      <c r="C62">
        <f>COLUMN('Story Types'!F3)</f>
        <v>6</v>
      </c>
    </row>
    <row r="63" spans="1:12" x14ac:dyDescent="0.25">
      <c r="A63" t="s">
        <v>1275</v>
      </c>
      <c r="B63" t="s">
        <v>1276</v>
      </c>
      <c r="C63">
        <f>COLUMN('Story Types'!G3)</f>
        <v>7</v>
      </c>
    </row>
    <row r="64" spans="1:12" x14ac:dyDescent="0.25">
      <c r="A64" t="s">
        <v>1275</v>
      </c>
      <c r="B64" t="s">
        <v>19</v>
      </c>
      <c r="C64">
        <f>COLUMN('Story Types'!B4)</f>
        <v>2</v>
      </c>
    </row>
  </sheetData>
  <sortState ref="J2:L59">
    <sortCondition ref="K2:K59"/>
  </sortState>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85</vt:i4>
      </vt:variant>
    </vt:vector>
  </HeadingPairs>
  <TitlesOfParts>
    <vt:vector size="94" baseType="lpstr">
      <vt:lpstr>Help</vt:lpstr>
      <vt:lpstr>Project Overview</vt:lpstr>
      <vt:lpstr>Story Types</vt:lpstr>
      <vt:lpstr>Stories</vt:lpstr>
      <vt:lpstr>Add-ins</vt:lpstr>
      <vt:lpstr>Objective Risks</vt:lpstr>
      <vt:lpstr>Staffing Plan</vt:lpstr>
      <vt:lpstr>LOE Summary</vt:lpstr>
      <vt:lpstr>Total LOE</vt:lpstr>
      <vt:lpstr>add_ins_last_row</vt:lpstr>
      <vt:lpstr>addins_impact_loe_lookup</vt:lpstr>
      <vt:lpstr>addins_phase_list_lookup</vt:lpstr>
      <vt:lpstr>addins_release_list_lookup</vt:lpstr>
      <vt:lpstr>addins_total_loe</vt:lpstr>
      <vt:lpstr>addins_track_list_lookup</vt:lpstr>
      <vt:lpstr>data_blank_value</vt:lpstr>
      <vt:lpstr>data_role_doesnt_exist_msg</vt:lpstr>
      <vt:lpstr>data_rolename_title_location</vt:lpstr>
      <vt:lpstr>list_title_for_mapping</vt:lpstr>
      <vt:lpstr>loe_summ_last_row</vt:lpstr>
      <vt:lpstr>metrics_lookup_table</vt:lpstr>
      <vt:lpstr>obj_risks_last_row</vt:lpstr>
      <vt:lpstr>'Add-ins'!Print_Area</vt:lpstr>
      <vt:lpstr>Help!Print_Area</vt:lpstr>
      <vt:lpstr>'LOE Summary'!Print_Area</vt:lpstr>
      <vt:lpstr>'Objective Risks'!Print_Area</vt:lpstr>
      <vt:lpstr>'Project Overview'!Print_Area</vt:lpstr>
      <vt:lpstr>'Staffing Plan'!Print_Area</vt:lpstr>
      <vt:lpstr>Stories!Print_Area</vt:lpstr>
      <vt:lpstr>'Story Types'!Print_Area</vt:lpstr>
      <vt:lpstr>'Total LOE'!Print_Area</vt:lpstr>
      <vt:lpstr>project_delivery_select</vt:lpstr>
      <vt:lpstr>project_headline</vt:lpstr>
      <vt:lpstr>project_name</vt:lpstr>
      <vt:lpstr>project_phase</vt:lpstr>
      <vt:lpstr>project_Phase_list_column</vt:lpstr>
      <vt:lpstr>project_pid</vt:lpstr>
      <vt:lpstr>project_Rel_list_column</vt:lpstr>
      <vt:lpstr>project_tracks_list_column</vt:lpstr>
      <vt:lpstr>project_tracks_starting_row</vt:lpstr>
      <vt:lpstr>risks_phase_list_lookup</vt:lpstr>
      <vt:lpstr>risks_release_list_lookup</vt:lpstr>
      <vt:lpstr>risks_risk_buffer_lookup</vt:lpstr>
      <vt:lpstr>risks_total_loe</vt:lpstr>
      <vt:lpstr>risks_track_list_lookup</vt:lpstr>
      <vt:lpstr>staffing_column_after_weeks</vt:lpstr>
      <vt:lpstr>staffing_column_before_weeks</vt:lpstr>
      <vt:lpstr>staffing_column_HrsPerDay</vt:lpstr>
      <vt:lpstr>staffing_column_plan_start</vt:lpstr>
      <vt:lpstr>staffing_column_Rate</vt:lpstr>
      <vt:lpstr>staffing_column_title</vt:lpstr>
      <vt:lpstr>staffing_hidden_template_row</vt:lpstr>
      <vt:lpstr>staffing_planned_net_work_days</vt:lpstr>
      <vt:lpstr>staffing_row_after_oversight</vt:lpstr>
      <vt:lpstr>staffing_row_after_team</vt:lpstr>
      <vt:lpstr>staffing_row_before_oversight</vt:lpstr>
      <vt:lpstr>staffing_row_before_team</vt:lpstr>
      <vt:lpstr>staffing_total_loe_oversight</vt:lpstr>
      <vt:lpstr>staffing_total_loe_team</vt:lpstr>
      <vt:lpstr>staffing_total_person_days</vt:lpstr>
      <vt:lpstr>stories_buffered_loe_lookup</vt:lpstr>
      <vt:lpstr>stories_column_abp</vt:lpstr>
      <vt:lpstr>stories_column_category</vt:lpstr>
      <vt:lpstr>stories_column_description</vt:lpstr>
      <vt:lpstr>stories_column_error</vt:lpstr>
      <vt:lpstr>stories_column_hp</vt:lpstr>
      <vt:lpstr>stories_column_in_out</vt:lpstr>
      <vt:lpstr>stories_column_multiplier</vt:lpstr>
      <vt:lpstr>stories_column_notes</vt:lpstr>
      <vt:lpstr>stories_column_phase</vt:lpstr>
      <vt:lpstr>stories_column_release</vt:lpstr>
      <vt:lpstr>stories_column_scope_reference</vt:lpstr>
      <vt:lpstr>stories_column_story_name</vt:lpstr>
      <vt:lpstr>stories_column_story_type</vt:lpstr>
      <vt:lpstr>stories_column_sub_category</vt:lpstr>
      <vt:lpstr>stories_column_track</vt:lpstr>
      <vt:lpstr>stories_last_row</vt:lpstr>
      <vt:lpstr>Stories_phase_list_lookup</vt:lpstr>
      <vt:lpstr>stories_release_list_lookup</vt:lpstr>
      <vt:lpstr>stories_row_after_last_story</vt:lpstr>
      <vt:lpstr>stories_row_before_first_story</vt:lpstr>
      <vt:lpstr>stories_total_loe_abp</vt:lpstr>
      <vt:lpstr>stories_total_loe_buffered</vt:lpstr>
      <vt:lpstr>stories_total_loe_hp</vt:lpstr>
      <vt:lpstr>stories_track_list_lookup</vt:lpstr>
      <vt:lpstr>tasks_metrics_observation_area</vt:lpstr>
      <vt:lpstr>tasks_metrics_template</vt:lpstr>
      <vt:lpstr>tool_version</vt:lpstr>
      <vt:lpstr>tool_version_check</vt:lpstr>
      <vt:lpstr>tool_version_date</vt:lpstr>
      <vt:lpstr>tool_vox_address</vt:lpstr>
      <vt:lpstr>tool_vox_address_title</vt:lpstr>
      <vt:lpstr>total_loe</vt:lpstr>
      <vt:lpstr>track_loe_header_cell</vt:lpstr>
    </vt:vector>
  </TitlesOfParts>
  <Company>Sapient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Tool</dc:title>
  <dc:creator>Delivery Shared Services and Quality &amp; Methods</dc:creator>
  <cp:lastModifiedBy>WIN764BIT</cp:lastModifiedBy>
  <cp:lastPrinted>2013-11-22T05:12:52Z</cp:lastPrinted>
  <dcterms:created xsi:type="dcterms:W3CDTF">2011-10-20T15:30:42Z</dcterms:created>
  <dcterms:modified xsi:type="dcterms:W3CDTF">2014-02-14T17:51:50Z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sync_ProviderInitializationData">
    <vt:lpwstr>https://vox.sapient.com</vt:lpwstr>
  </property>
  <property fmtid="{D5CDD505-2E9C-101B-9397-08002B2CF9AE}" pid="3" name="Offisync_SaveTime">
    <vt:lpwstr/>
  </property>
  <property fmtid="{D5CDD505-2E9C-101B-9397-08002B2CF9AE}" pid="4" name="Offisync_IsSaved">
    <vt:lpwstr>False</vt:lpwstr>
  </property>
  <property fmtid="{D5CDD505-2E9C-101B-9397-08002B2CF9AE}" pid="5" name="Offisync_ProviderName">
    <vt:lpwstr>Jive</vt:lpwstr>
  </property>
  <property fmtid="{D5CDD505-2E9C-101B-9397-08002B2CF9AE}" pid="6" name="Offisync_IsFrozen">
    <vt:lpwstr>False</vt:lpwstr>
  </property>
  <property fmtid="{D5CDD505-2E9C-101B-9397-08002B2CF9AE}" pid="7" name="Offisync_UpdateToken">
    <vt:lpwstr>17</vt:lpwstr>
  </property>
  <property fmtid="{D5CDD505-2E9C-101B-9397-08002B2CF9AE}" pid="8" name="Offisync_UniqueId">
    <vt:lpwstr>4272</vt:lpwstr>
  </property>
  <property fmtid="{D5CDD505-2E9C-101B-9397-08002B2CF9AE}" pid="9" name="Offisync_Username">
    <vt:lpwstr>spurus</vt:lpwstr>
  </property>
  <property fmtid="{D5CDD505-2E9C-101B-9397-08002B2CF9AE}" pid="10" name="Offisync_UserID">
    <vt:lpwstr>2345</vt:lpwstr>
  </property>
  <property fmtid="{D5CDD505-2E9C-101B-9397-08002B2CF9AE}" pid="11" name="Offisync_FolderId">
    <vt:lpwstr/>
  </property>
  <property fmtid="{D5CDD505-2E9C-101B-9397-08002B2CF9AE}" pid="12" name="Offisync_FileTitle">
    <vt:lpwstr/>
  </property>
  <property fmtid="{D5CDD505-2E9C-101B-9397-08002B2CF9AE}" pid="13" name="Jive_ModifiedButNotPublished">
    <vt:lpwstr>True</vt:lpwstr>
  </property>
</Properties>
</file>